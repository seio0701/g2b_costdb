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시설마스터" sheetId="2" state="visible" r:id="rId2"/>
    <sheet xmlns:r="http://schemas.openxmlformats.org/officeDocument/2006/relationships" name="02_공고목록_전체" sheetId="3" state="visible" r:id="rId3"/>
    <sheet xmlns:r="http://schemas.openxmlformats.org/officeDocument/2006/relationships" name="03_공고목록_최신" sheetId="4" state="visible" r:id="rId4"/>
    <sheet xmlns:r="http://schemas.openxmlformats.org/officeDocument/2006/relationships" name="04_공사비DB_공종별" sheetId="5" state="visible" r:id="rId5"/>
    <sheet xmlns:r="http://schemas.openxmlformats.org/officeDocument/2006/relationships" name="05_공사비DB_시설합산" sheetId="6" state="visible" r:id="rId6"/>
    <sheet xmlns:r="http://schemas.openxmlformats.org/officeDocument/2006/relationships" name="06_검증로그" sheetId="7" state="visible" r:id="rId7"/>
    <sheet xmlns:r="http://schemas.openxmlformats.org/officeDocument/2006/relationships" name="07_추출노트" sheetId="8" state="visible" r:id="rId8"/>
  </sheets>
  <definedNames>
    <definedName name="_xlnm._FilterDatabase" localSheetId="1" hidden="1">'01_시설마스터'!$A$1:$AD$4</definedName>
    <definedName name="_xlnm._FilterDatabase" localSheetId="2" hidden="1">'02_공고목록_전체'!$A$1:$AD$12</definedName>
    <definedName name="_xlnm._FilterDatabase" localSheetId="3" hidden="1">'03_공고목록_최신'!$A$1:$AD$9</definedName>
    <definedName name="_xlnm._FilterDatabase" localSheetId="4" hidden="1">'04_공사비DB_공종별'!$A$1:$X$9</definedName>
    <definedName name="_xlnm._FilterDatabase" localSheetId="5" hidden="1">'05_공사비DB_시설합산'!$A$1:$AA$4</definedName>
    <definedName name="_xlnm._FilterDatabase" localSheetId="7" hidden="1">'07_추출노트'!$A$1:$K$2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#,##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5" fontId="4" fillId="3" borderId="0" pivotButton="0" quotePrefix="0" xfId="0"/>
    <xf numFmtId="164" fontId="4" fillId="3" borderId="0" pivotButton="0" quotePrefix="0" xfId="0"/>
    <xf numFmtId="0" fontId="4" fillId="3" borderId="0" pivotButton="0" quotePrefix="0" xfId="0"/>
    <xf numFmtId="0" fontId="2" fillId="3" borderId="0" pivotButton="0" quotePrefix="0" xfId="0"/>
    <xf numFmtId="164" fontId="4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LIMAC 공사비 DB — 나라장터 발주공고 기반</t>
        </is>
      </c>
    </row>
    <row r="2">
      <c r="A2" s="2" t="inlineStr">
        <is>
          <t>생성일</t>
        </is>
      </c>
      <c r="B2" s="2" t="inlineStr">
        <is>
          <t>2026-09-05</t>
        </is>
      </c>
    </row>
    <row r="3">
      <c r="A3" s="2" t="inlineStr">
        <is>
          <t>수집기간</t>
        </is>
      </c>
      <c r="B3" s="2" t="inlineStr">
        <is>
          <t>합성 데이터(예시)</t>
        </is>
      </c>
    </row>
    <row r="4">
      <c r="A4" s="2" t="inlineStr">
        <is>
          <t>출처</t>
        </is>
      </c>
      <c r="B4" s="2" t="inlineStr">
        <is>
          <t>조달청 나라장터 입찰공고정보서비스(공공데이터포털) + 공고 첨부문서(공고문·현장설명서 등) LLM 추출</t>
        </is>
      </c>
    </row>
    <row r="5">
      <c r="A5" s="2" t="inlineStr">
        <is>
          <t>금액 기준</t>
        </is>
      </c>
      <c r="B5" s="2" t="inlineStr">
        <is>
          <t>낙찰가 아님. 추정가격(VAT 제외)·기초금액(추정가격+VAT) = 예정가격 산정 기준. 관급자재는 별도 컬럼.</t>
        </is>
      </c>
    </row>
    <row r="6">
      <c r="A6" s="2" t="inlineStr">
        <is>
          <t>대표 공고</t>
        </is>
      </c>
      <c r="B6" s="2" t="inlineStr">
        <is>
          <t>동일 (프로젝트, 공종)에 복수 공고 시 취소공고 제외 후 최신 공고 1건을 대표로 채택(변경·재공고 반영). 이력은 02시트 보존.</t>
        </is>
      </c>
    </row>
    <row r="7">
      <c r="A7" s="2" t="inlineStr">
        <is>
          <t>프로젝트ID</t>
        </is>
      </c>
      <c r="B7" s="2" t="inlineStr">
        <is>
          <t>시설ID-사업유형코드(N 신축 / E 증축 / R 리모델링 / ER 증축·리모델링). 같은 시설의 신축과 리모델링은 별도 프로젝트로 집계되며, ㎡당 공사비 비교는 반드시 사업유형이 같은 프로젝트끼리 할 것.</t>
        </is>
      </c>
    </row>
    <row r="8">
      <c r="A8" s="2" t="inlineStr">
        <is>
          <t>색상</t>
        </is>
      </c>
      <c r="B8" s="2" t="inlineStr">
        <is>
          <t>파란 글자=원천값(API/문서), 검은 글자=수식, 노란 배경=사용자 입력·검수 셀 (01 시트의 연면적·층수 등은 문서 추출값이며 직접 고치면 05 ㎡당 공사비에 반영됨)</t>
        </is>
      </c>
    </row>
    <row r="9">
      <c r="A9" s="2" t="inlineStr">
        <is>
          <t>단위</t>
        </is>
      </c>
      <c r="B9" s="2" t="inlineStr">
        <is>
          <t>금액: 원 / 면적: ㎡ / 기간: 일</t>
        </is>
      </c>
    </row>
    <row r="10">
      <c r="A10" s="2" t="n"/>
      <c r="B10" s="2" t="n"/>
    </row>
    <row r="11">
      <c r="A11" s="2" t="inlineStr">
        <is>
          <t>시트</t>
        </is>
      </c>
      <c r="B11" s="2" t="inlineStr">
        <is>
          <t>내용</t>
        </is>
      </c>
    </row>
    <row r="12">
      <c r="A12" s="2" t="inlineStr">
        <is>
          <t>01_시설마스터</t>
        </is>
      </c>
      <c r="B12" s="2" t="inlineStr">
        <is>
          <t>시설(프로젝트) 단위 개요·공종 커버리지</t>
        </is>
      </c>
    </row>
    <row r="13">
      <c r="A13" s="2" t="inlineStr">
        <is>
          <t>02_공고목록_전체</t>
        </is>
      </c>
      <c r="B13" s="2" t="inlineStr">
        <is>
          <t>수집된 모든 공고(차수·재공고·취소 이력 포함)</t>
        </is>
      </c>
    </row>
    <row r="14">
      <c r="A14" s="2" t="inlineStr">
        <is>
          <t>03_공고목록_최신</t>
        </is>
      </c>
      <c r="B14" s="2" t="inlineStr">
        <is>
          <t>프로젝트키(시설×공종)당 대표 공고</t>
        </is>
      </c>
    </row>
    <row r="15">
      <c r="A15" s="2" t="inlineStr">
        <is>
          <t>04_공사비DB_공종별</t>
        </is>
      </c>
      <c r="B15" s="2" t="inlineStr">
        <is>
          <t>대표 공고 기준 공종별 금액 구성(API+문서), 총공사비 수식</t>
        </is>
      </c>
    </row>
    <row r="16">
      <c r="A16" s="2" t="inlineStr">
        <is>
          <t>05_공사비DB_시설합산</t>
        </is>
      </c>
      <c r="B16" s="2" t="inlineStr">
        <is>
          <t>시설 단위 공종 합산(SUMIFS), ㎡당 공사비, 보정계수 입력, 공종 누락 경고</t>
        </is>
      </c>
    </row>
    <row r="17">
      <c r="A17" s="2" t="inlineStr">
        <is>
          <t>06_검증로그</t>
        </is>
      </c>
      <c r="B17" s="2" t="inlineStr">
        <is>
          <t>API-문서 교차검증, 재발주 금액변동, 정합성 점검 결과</t>
        </is>
      </c>
    </row>
    <row r="18">
      <c r="A18" s="2" t="inlineStr">
        <is>
          <t>07_추출노트</t>
        </is>
      </c>
      <c r="B18" s="2" t="inlineStr">
        <is>
          <t>첨부파일별 다운로드·텍스트 추출 결과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6" customWidth="1" min="1" max="1"/>
    <col width="10.4" customWidth="1" min="2" max="2"/>
    <col width="34" customWidth="1" min="3" max="3"/>
    <col width="10.4" customWidth="1" min="4" max="4"/>
    <col width="13.6" customWidth="1" min="5" max="5"/>
    <col width="13.6" customWidth="1" min="6" max="6"/>
    <col width="10" customWidth="1" min="7" max="7"/>
    <col width="24" customWidth="1" min="8" max="8"/>
    <col width="13.6" customWidth="1" min="9" max="9"/>
    <col width="15.2" customWidth="1" min="10" max="10"/>
    <col width="15.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.2" customWidth="1" min="16" max="16"/>
    <col width="12" customWidth="1" min="17" max="17"/>
    <col width="12" customWidth="1" min="18" max="18"/>
    <col width="15.2" customWidth="1" min="19" max="19"/>
    <col width="12" customWidth="1" min="20" max="20"/>
    <col width="12" customWidth="1" min="21" max="21"/>
    <col width="13.6" customWidth="1" min="22" max="22"/>
    <col width="15.2" customWidth="1" min="23" max="23"/>
    <col width="10.4" customWidth="1" min="24" max="24"/>
    <col width="10.4" customWidth="1" min="25" max="25"/>
    <col width="10" customWidth="1" min="26" max="26"/>
    <col width="10" customWidth="1" min="27" max="27"/>
    <col width="13.6" customWidth="1" min="28" max="28"/>
    <col width="15.2" customWidth="1" min="29" max="29"/>
    <col width="10" customWidth="1" min="30" max="30"/>
  </cols>
  <sheetData>
    <row r="1">
      <c r="A1" s="3" t="inlineStr">
        <is>
          <t>프로젝트ID</t>
        </is>
      </c>
      <c r="B1" s="3" t="inlineStr">
        <is>
          <t>시설ID</t>
        </is>
      </c>
      <c r="C1" s="3" t="inlineStr">
        <is>
          <t>시설명</t>
        </is>
      </c>
      <c r="D1" s="3" t="inlineStr">
        <is>
          <t>사업유형</t>
        </is>
      </c>
      <c r="E1" s="3" t="inlineStr">
        <is>
          <t>표2_대분류</t>
        </is>
      </c>
      <c r="F1" s="3" t="inlineStr">
        <is>
          <t>표2_중분류</t>
        </is>
      </c>
      <c r="G1" s="3" t="inlineStr">
        <is>
          <t>검색어</t>
        </is>
      </c>
      <c r="H1" s="3" t="inlineStr">
        <is>
          <t>수요기관</t>
        </is>
      </c>
      <c r="I1" s="3" t="inlineStr">
        <is>
          <t>공사현장지역</t>
        </is>
      </c>
      <c r="J1" s="3" t="inlineStr">
        <is>
          <t>공고건수_전체</t>
        </is>
      </c>
      <c r="K1" s="3" t="inlineStr">
        <is>
          <t>공고건수_최신</t>
        </is>
      </c>
      <c r="L1" s="3" t="inlineStr">
        <is>
          <t>최초공고일</t>
        </is>
      </c>
      <c r="M1" s="3" t="inlineStr">
        <is>
          <t>최종공고일</t>
        </is>
      </c>
      <c r="N1" s="3" t="inlineStr">
        <is>
          <t>공종_건축</t>
        </is>
      </c>
      <c r="O1" s="3" t="inlineStr">
        <is>
          <t>공종_전기</t>
        </is>
      </c>
      <c r="P1" s="3" t="inlineStr">
        <is>
          <t>공종_정보통신</t>
        </is>
      </c>
      <c r="Q1" s="3" t="inlineStr">
        <is>
          <t>공종_소방</t>
        </is>
      </c>
      <c r="R1" s="3" t="inlineStr">
        <is>
          <t>공종_조경</t>
        </is>
      </c>
      <c r="S1" s="3" t="inlineStr">
        <is>
          <t>공종_기계설비</t>
        </is>
      </c>
      <c r="T1" s="3" t="inlineStr">
        <is>
          <t>공종_토목</t>
        </is>
      </c>
      <c r="U1" s="3" t="inlineStr">
        <is>
          <t>공종_기타</t>
        </is>
      </c>
      <c r="V1" s="3" t="inlineStr">
        <is>
          <t>연면적_m2</t>
        </is>
      </c>
      <c r="W1" s="3" t="inlineStr">
        <is>
          <t>건축면적_m2</t>
        </is>
      </c>
      <c r="X1" s="3" t="inlineStr">
        <is>
          <t>지하층수</t>
        </is>
      </c>
      <c r="Y1" s="3" t="inlineStr">
        <is>
          <t>지상층수</t>
        </is>
      </c>
      <c r="Z1" s="3" t="inlineStr">
        <is>
          <t>구조</t>
        </is>
      </c>
      <c r="AA1" s="3" t="inlineStr">
        <is>
          <t>용도</t>
        </is>
      </c>
      <c r="AB1" s="3" t="inlineStr">
        <is>
          <t>공사기간_일</t>
        </is>
      </c>
      <c r="AC1" s="3" t="inlineStr">
        <is>
          <t>검수_포함여부</t>
        </is>
      </c>
      <c r="AD1" s="3" t="inlineStr">
        <is>
          <t>메모</t>
        </is>
      </c>
    </row>
    <row r="2">
      <c r="A2" s="4" t="inlineStr">
        <is>
          <t>F0001-N</t>
        </is>
      </c>
      <c r="B2" s="4" t="inlineStr">
        <is>
          <t>F0001</t>
        </is>
      </c>
      <c r="C2" s="4" t="inlineStr">
        <is>
          <t>예시군 문화예술회관</t>
        </is>
      </c>
      <c r="D2" s="4" t="inlineStr">
        <is>
          <t>신축</t>
        </is>
      </c>
      <c r="E2" s="4" t="inlineStr">
        <is>
          <t>문화 및 집회시설</t>
        </is>
      </c>
      <c r="F2" s="4" t="inlineStr">
        <is>
          <t>공연장</t>
        </is>
      </c>
      <c r="G2" s="4" t="inlineStr">
        <is>
          <t>문화예술회관</t>
        </is>
      </c>
      <c r="H2" s="4" t="inlineStr">
        <is>
          <t>예시군</t>
        </is>
      </c>
      <c r="I2" s="4" t="inlineStr">
        <is>
          <t>전라남도 예시군</t>
        </is>
      </c>
      <c r="J2" s="4" t="n">
        <v>2</v>
      </c>
      <c r="K2" s="4" t="n">
        <v>2</v>
      </c>
      <c r="L2" s="4" t="inlineStr">
        <is>
          <t>2025-02-10 10:00</t>
        </is>
      </c>
      <c r="M2" s="4" t="inlineStr">
        <is>
          <t>2025-02-10 11:00</t>
        </is>
      </c>
      <c r="N2" s="4" t="inlineStr">
        <is>
          <t>O</t>
        </is>
      </c>
      <c r="O2" s="4" t="inlineStr">
        <is>
          <t>O</t>
        </is>
      </c>
      <c r="P2" s="4" t="inlineStr">
        <is>
          <t>X</t>
        </is>
      </c>
      <c r="Q2" s="4" t="inlineStr">
        <is>
          <t>X</t>
        </is>
      </c>
      <c r="R2" s="4" t="inlineStr">
        <is>
          <t>X</t>
        </is>
      </c>
      <c r="S2" s="4" t="inlineStr">
        <is>
          <t>X</t>
        </is>
      </c>
      <c r="T2" s="4" t="inlineStr">
        <is>
          <t>X</t>
        </is>
      </c>
      <c r="U2" s="4" t="inlineStr">
        <is>
          <t>X</t>
        </is>
      </c>
      <c r="V2" s="5" t="n">
        <v>15200</v>
      </c>
      <c r="W2" s="6" t="n"/>
      <c r="X2" s="7" t="n">
        <v>1</v>
      </c>
      <c r="Y2" s="7" t="n">
        <v>3</v>
      </c>
      <c r="Z2" s="7" t="inlineStr">
        <is>
          <t>철골철근콘크리트조</t>
        </is>
      </c>
      <c r="AA2" s="7" t="inlineStr">
        <is>
          <t>공연장</t>
        </is>
      </c>
      <c r="AB2" s="7" t="n">
        <v>1080</v>
      </c>
      <c r="AC2" s="8" t="inlineStr">
        <is>
          <t>포함</t>
        </is>
      </c>
      <c r="AD2" s="8" t="n"/>
    </row>
    <row r="3">
      <c r="A3" s="4" t="inlineStr">
        <is>
          <t>F0002-N</t>
        </is>
      </c>
      <c r="B3" s="4" t="inlineStr">
        <is>
          <t>F0002</t>
        </is>
      </c>
      <c r="C3" s="4" t="inlineStr">
        <is>
          <t>가상시립미술관</t>
        </is>
      </c>
      <c r="D3" s="4" t="inlineStr">
        <is>
          <t>신축</t>
        </is>
      </c>
      <c r="E3" s="4" t="inlineStr">
        <is>
          <t>문화 및 집회시설</t>
        </is>
      </c>
      <c r="F3" s="4" t="inlineStr">
        <is>
          <t>미술관</t>
        </is>
      </c>
      <c r="G3" s="4" t="inlineStr">
        <is>
          <t>미술관</t>
        </is>
      </c>
      <c r="H3" s="4" t="inlineStr">
        <is>
          <t>가상광역시</t>
        </is>
      </c>
      <c r="I3" s="4" t="inlineStr">
        <is>
          <t>가상광역시 중구</t>
        </is>
      </c>
      <c r="J3" s="4" t="n">
        <v>6</v>
      </c>
      <c r="K3" s="4" t="n">
        <v>4</v>
      </c>
      <c r="L3" s="4" t="inlineStr">
        <is>
          <t>2024-03-05 10:00</t>
        </is>
      </c>
      <c r="M3" s="4" t="inlineStr">
        <is>
          <t>2024-05-20 10:00</t>
        </is>
      </c>
      <c r="N3" s="4" t="inlineStr">
        <is>
          <t>O</t>
        </is>
      </c>
      <c r="O3" s="4" t="inlineStr">
        <is>
          <t>O</t>
        </is>
      </c>
      <c r="P3" s="4" t="inlineStr">
        <is>
          <t>O</t>
        </is>
      </c>
      <c r="Q3" s="4" t="inlineStr">
        <is>
          <t>O</t>
        </is>
      </c>
      <c r="R3" s="4" t="inlineStr">
        <is>
          <t>X</t>
        </is>
      </c>
      <c r="S3" s="4" t="inlineStr">
        <is>
          <t>X</t>
        </is>
      </c>
      <c r="T3" s="4" t="inlineStr">
        <is>
          <t>X</t>
        </is>
      </c>
      <c r="U3" s="4" t="inlineStr">
        <is>
          <t>X</t>
        </is>
      </c>
      <c r="V3" s="5" t="n">
        <v>9850</v>
      </c>
      <c r="W3" s="6" t="n">
        <v>3200</v>
      </c>
      <c r="X3" s="7" t="n">
        <v>2</v>
      </c>
      <c r="Y3" s="7" t="n">
        <v>4</v>
      </c>
      <c r="Z3" s="7" t="inlineStr">
        <is>
          <t>철근콘크리트조</t>
        </is>
      </c>
      <c r="AA3" s="7" t="inlineStr">
        <is>
          <t>미술관</t>
        </is>
      </c>
      <c r="AB3" s="7" t="n">
        <v>900</v>
      </c>
      <c r="AC3" s="8" t="inlineStr">
        <is>
          <t>포함</t>
        </is>
      </c>
      <c r="AD3" s="8" t="n"/>
    </row>
    <row r="4">
      <c r="A4" s="4" t="inlineStr">
        <is>
          <t>F0002-R</t>
        </is>
      </c>
      <c r="B4" s="4" t="inlineStr">
        <is>
          <t>F0002</t>
        </is>
      </c>
      <c r="C4" s="4" t="inlineStr">
        <is>
          <t>가상시립미술관</t>
        </is>
      </c>
      <c r="D4" s="4" t="inlineStr">
        <is>
          <t>리모델링</t>
        </is>
      </c>
      <c r="E4" s="4" t="inlineStr">
        <is>
          <t>문화 및 집회시설</t>
        </is>
      </c>
      <c r="F4" s="4" t="inlineStr">
        <is>
          <t>미술관</t>
        </is>
      </c>
      <c r="G4" s="4" t="inlineStr">
        <is>
          <t>미술관</t>
        </is>
      </c>
      <c r="H4" s="4" t="inlineStr">
        <is>
          <t>가상광역시</t>
        </is>
      </c>
      <c r="I4" s="4" t="inlineStr">
        <is>
          <t>가상광역시 중구</t>
        </is>
      </c>
      <c r="J4" s="4" t="n">
        <v>2</v>
      </c>
      <c r="K4" s="4" t="n">
        <v>2</v>
      </c>
      <c r="L4" s="4" t="inlineStr">
        <is>
          <t>2026-05-02 10:00</t>
        </is>
      </c>
      <c r="M4" s="4" t="inlineStr">
        <is>
          <t>2026-05-03 10:00</t>
        </is>
      </c>
      <c r="N4" s="4" t="inlineStr">
        <is>
          <t>O</t>
        </is>
      </c>
      <c r="O4" s="4" t="inlineStr">
        <is>
          <t>O</t>
        </is>
      </c>
      <c r="P4" s="4" t="inlineStr">
        <is>
          <t>X</t>
        </is>
      </c>
      <c r="Q4" s="4" t="inlineStr">
        <is>
          <t>X</t>
        </is>
      </c>
      <c r="R4" s="4" t="inlineStr">
        <is>
          <t>X</t>
        </is>
      </c>
      <c r="S4" s="4" t="inlineStr">
        <is>
          <t>X</t>
        </is>
      </c>
      <c r="T4" s="4" t="inlineStr">
        <is>
          <t>X</t>
        </is>
      </c>
      <c r="U4" s="4" t="inlineStr">
        <is>
          <t>X</t>
        </is>
      </c>
      <c r="V4" s="5" t="n">
        <v>6100</v>
      </c>
      <c r="W4" s="6" t="n"/>
      <c r="X4" s="7" t="n">
        <v>1</v>
      </c>
      <c r="Y4" s="7" t="n">
        <v>4</v>
      </c>
      <c r="Z4" s="7" t="inlineStr">
        <is>
          <t>철근콘크리트조</t>
        </is>
      </c>
      <c r="AA4" s="7" t="inlineStr">
        <is>
          <t>미술관</t>
        </is>
      </c>
      <c r="AB4" s="7" t="n">
        <v>420</v>
      </c>
      <c r="AC4" s="8" t="inlineStr">
        <is>
          <t>포함</t>
        </is>
      </c>
      <c r="AD4" s="8" t="n"/>
    </row>
  </sheetData>
  <autoFilter ref="A1:A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.4" customWidth="1" min="2" max="2"/>
    <col width="10" customWidth="1" min="3" max="3"/>
    <col width="60" customWidth="1" min="4" max="4"/>
    <col width="10.4" customWidth="1" min="5" max="5"/>
    <col width="12" customWidth="1" min="6" max="6"/>
    <col width="10.4" customWidth="1" min="7" max="7"/>
    <col width="13.6" customWidth="1" min="8" max="8"/>
    <col width="10.4" customWidth="1" min="9" max="9"/>
    <col width="24" customWidth="1" min="10" max="10"/>
    <col width="24" customWidth="1" min="11" max="11"/>
    <col width="13.6" customWidth="1" min="12" max="12"/>
    <col width="10.4" customWidth="1" min="13" max="13"/>
    <col width="10.4" customWidth="1" min="14" max="14"/>
    <col width="10.4" customWidth="1" min="15" max="15"/>
    <col width="13.6" customWidth="1" min="16" max="16"/>
    <col width="10" customWidth="1" min="17" max="17"/>
    <col width="10.4" customWidth="1" min="18" max="18"/>
    <col width="10.4" customWidth="1" min="19" max="19"/>
    <col width="16.8" customWidth="1" min="20" max="20"/>
    <col width="10.4" customWidth="1" min="21" max="21"/>
    <col width="10" customWidth="1" min="22" max="22"/>
    <col width="13.6" customWidth="1" min="23" max="23"/>
    <col width="26" customWidth="1" min="24" max="24"/>
    <col width="10.4" customWidth="1" min="25" max="25"/>
    <col width="13.6" customWidth="1" min="26" max="26"/>
    <col width="13.6" customWidth="1" min="27" max="27"/>
    <col width="13.6" customWidth="1" min="28" max="28"/>
    <col width="12" customWidth="1" min="29" max="29"/>
    <col width="40" customWidth="1" min="30" max="30"/>
  </cols>
  <sheetData>
    <row r="1">
      <c r="A1" s="3" t="inlineStr">
        <is>
          <t>공고번호</t>
        </is>
      </c>
      <c r="B1" s="3" t="inlineStr">
        <is>
          <t>공고차수</t>
        </is>
      </c>
      <c r="C1" s="3" t="inlineStr">
        <is>
          <t>공고키</t>
        </is>
      </c>
      <c r="D1" s="3" t="inlineStr">
        <is>
          <t>공고명</t>
        </is>
      </c>
      <c r="E1" s="3" t="inlineStr">
        <is>
          <t>공고종류</t>
        </is>
      </c>
      <c r="F1" s="3" t="inlineStr">
        <is>
          <t>재공고여부</t>
        </is>
      </c>
      <c r="G1" s="3" t="inlineStr">
        <is>
          <t>공고일시</t>
        </is>
      </c>
      <c r="H1" s="3" t="inlineStr">
        <is>
          <t>입찰마감일시</t>
        </is>
      </c>
      <c r="I1" s="3" t="inlineStr">
        <is>
          <t>개찰일시</t>
        </is>
      </c>
      <c r="J1" s="3" t="inlineStr">
        <is>
          <t>공고기관</t>
        </is>
      </c>
      <c r="K1" s="3" t="inlineStr">
        <is>
          <t>수요기관</t>
        </is>
      </c>
      <c r="L1" s="3" t="inlineStr">
        <is>
          <t>공사현장지역</t>
        </is>
      </c>
      <c r="M1" s="3" t="inlineStr">
        <is>
          <t>추정가격</t>
        </is>
      </c>
      <c r="N1" s="3" t="inlineStr">
        <is>
          <t>기초금액</t>
        </is>
      </c>
      <c r="O1" s="3" t="inlineStr">
        <is>
          <t>주공종명</t>
        </is>
      </c>
      <c r="P1" s="3" t="inlineStr">
        <is>
          <t>면허제한업종</t>
        </is>
      </c>
      <c r="Q1" s="3" t="inlineStr">
        <is>
          <t>공종</t>
        </is>
      </c>
      <c r="R1" s="3" t="inlineStr">
        <is>
          <t>공종근거</t>
        </is>
      </c>
      <c r="S1" s="3" t="inlineStr">
        <is>
          <t>사업유형</t>
        </is>
      </c>
      <c r="T1" s="3" t="inlineStr">
        <is>
          <t>사업유형_원분류</t>
        </is>
      </c>
      <c r="U1" s="3" t="inlineStr">
        <is>
          <t>시설ID</t>
        </is>
      </c>
      <c r="V1" s="3" t="inlineStr">
        <is>
          <t>시설명</t>
        </is>
      </c>
      <c r="W1" s="3" t="inlineStr">
        <is>
          <t>프로젝트ID</t>
        </is>
      </c>
      <c r="X1" s="3" t="inlineStr">
        <is>
          <t>프로젝트키</t>
        </is>
      </c>
      <c r="Y1" s="3" t="inlineStr">
        <is>
          <t>최신여부</t>
        </is>
      </c>
      <c r="Z1" s="3" t="inlineStr">
        <is>
          <t>대체공고번호</t>
        </is>
      </c>
      <c r="AA1" s="3" t="inlineStr">
        <is>
          <t>대표선정사유</t>
        </is>
      </c>
      <c r="AB1" s="3" t="inlineStr">
        <is>
          <t>사전규격번호</t>
        </is>
      </c>
      <c r="AC1" s="3" t="inlineStr">
        <is>
          <t>첨부파일수</t>
        </is>
      </c>
      <c r="AD1" s="3" t="inlineStr">
        <is>
          <t>상세URL</t>
        </is>
      </c>
    </row>
    <row r="2">
      <c r="A2" s="4" t="inlineStr">
        <is>
          <t>20250100008</t>
        </is>
      </c>
      <c r="B2" s="4" t="inlineStr">
        <is>
          <t>00</t>
        </is>
      </c>
      <c r="C2" s="4" t="inlineStr">
        <is>
          <t>20250100008-00</t>
        </is>
      </c>
      <c r="D2" s="4" t="inlineStr">
        <is>
          <t>예시군 문화예술회관 건립공사</t>
        </is>
      </c>
      <c r="E2" s="4" t="inlineStr">
        <is>
          <t>일반</t>
        </is>
      </c>
      <c r="F2" s="4" t="inlineStr">
        <is>
          <t>N</t>
        </is>
      </c>
      <c r="G2" s="4" t="inlineStr">
        <is>
          <t>2025-02-10 10:00</t>
        </is>
      </c>
      <c r="H2" s="4" t="inlineStr"/>
      <c r="I2" s="4" t="inlineStr"/>
      <c r="J2" s="4" t="inlineStr">
        <is>
          <t>예시군</t>
        </is>
      </c>
      <c r="K2" s="4" t="inlineStr">
        <is>
          <t>예시군</t>
        </is>
      </c>
      <c r="L2" s="4" t="inlineStr">
        <is>
          <t>전라남도 예시군</t>
        </is>
      </c>
      <c r="M2" s="9" t="n">
        <v>32000000000</v>
      </c>
      <c r="N2" s="9" t="n">
        <v>35200000000</v>
      </c>
      <c r="O2" s="4" t="inlineStr">
        <is>
          <t>건축공사</t>
        </is>
      </c>
      <c r="P2" s="4" t="inlineStr"/>
      <c r="Q2" s="4" t="inlineStr">
        <is>
          <t>건축</t>
        </is>
      </c>
      <c r="R2" s="4" t="inlineStr">
        <is>
          <t>주공종명</t>
        </is>
      </c>
      <c r="S2" s="4" t="inlineStr">
        <is>
          <t>신축</t>
        </is>
      </c>
      <c r="T2" s="4" t="inlineStr">
        <is>
          <t>신축</t>
        </is>
      </c>
      <c r="U2" s="4" t="inlineStr">
        <is>
          <t>F0001</t>
        </is>
      </c>
      <c r="V2" s="4" t="inlineStr">
        <is>
          <t>예시군 문화예술회관</t>
        </is>
      </c>
      <c r="W2" s="4" t="inlineStr">
        <is>
          <t>F0001-N</t>
        </is>
      </c>
      <c r="X2" s="4" t="inlineStr">
        <is>
          <t>F0001-N|건축|</t>
        </is>
      </c>
      <c r="Y2" s="4" t="b">
        <v>1</v>
      </c>
      <c r="Z2" s="4" t="inlineStr"/>
      <c r="AA2" s="4" t="inlineStr">
        <is>
          <t>단독 공고</t>
        </is>
      </c>
      <c r="AB2" s="4" t="inlineStr"/>
      <c r="AC2" s="4" t="n">
        <v>0</v>
      </c>
      <c r="AD2" s="4" t="inlineStr"/>
    </row>
    <row r="3">
      <c r="A3" s="4" t="inlineStr">
        <is>
          <t>20250100009</t>
        </is>
      </c>
      <c r="B3" s="4" t="inlineStr">
        <is>
          <t>00</t>
        </is>
      </c>
      <c r="C3" s="4" t="inlineStr">
        <is>
          <t>20250100009-00</t>
        </is>
      </c>
      <c r="D3" s="4" t="inlineStr">
        <is>
          <t>예시군 문화예술회관 건립 전기공사</t>
        </is>
      </c>
      <c r="E3" s="4" t="inlineStr">
        <is>
          <t>일반</t>
        </is>
      </c>
      <c r="F3" s="4" t="inlineStr">
        <is>
          <t>N</t>
        </is>
      </c>
      <c r="G3" s="4" t="inlineStr">
        <is>
          <t>2025-02-10 11:00</t>
        </is>
      </c>
      <c r="H3" s="4" t="inlineStr"/>
      <c r="I3" s="4" t="inlineStr"/>
      <c r="J3" s="4" t="inlineStr">
        <is>
          <t>예시군</t>
        </is>
      </c>
      <c r="K3" s="4" t="inlineStr">
        <is>
          <t>예시군</t>
        </is>
      </c>
      <c r="L3" s="4" t="inlineStr">
        <is>
          <t>전라남도 예시군</t>
        </is>
      </c>
      <c r="M3" s="9" t="n">
        <v>2600000000</v>
      </c>
      <c r="N3" s="9" t="n">
        <v>2860000000</v>
      </c>
      <c r="O3" s="4" t="inlineStr">
        <is>
          <t>전기공사</t>
        </is>
      </c>
      <c r="P3" s="4" t="inlineStr"/>
      <c r="Q3" s="4" t="inlineStr">
        <is>
          <t>전기</t>
        </is>
      </c>
      <c r="R3" s="4" t="inlineStr">
        <is>
          <t>주공종명</t>
        </is>
      </c>
      <c r="S3" s="4" t="inlineStr">
        <is>
          <t>신축</t>
        </is>
      </c>
      <c r="T3" s="4" t="inlineStr">
        <is>
          <t>신축</t>
        </is>
      </c>
      <c r="U3" s="4" t="inlineStr">
        <is>
          <t>F0001</t>
        </is>
      </c>
      <c r="V3" s="4" t="inlineStr">
        <is>
          <t>예시군 문화예술회관</t>
        </is>
      </c>
      <c r="W3" s="4" t="inlineStr">
        <is>
          <t>F0001-N</t>
        </is>
      </c>
      <c r="X3" s="4" t="inlineStr">
        <is>
          <t>F0001-N|전기|</t>
        </is>
      </c>
      <c r="Y3" s="4" t="b">
        <v>1</v>
      </c>
      <c r="Z3" s="4" t="inlineStr"/>
      <c r="AA3" s="4" t="inlineStr">
        <is>
          <t>단독 공고</t>
        </is>
      </c>
      <c r="AB3" s="4" t="inlineStr"/>
      <c r="AC3" s="4" t="n">
        <v>0</v>
      </c>
      <c r="AD3" s="4" t="inlineStr"/>
    </row>
    <row r="4">
      <c r="A4" s="4" t="inlineStr">
        <is>
          <t>20240100001</t>
        </is>
      </c>
      <c r="B4" s="4" t="inlineStr">
        <is>
          <t>00</t>
        </is>
      </c>
      <c r="C4" s="4" t="inlineStr">
        <is>
          <t>20240100001-00</t>
        </is>
      </c>
      <c r="D4" s="4" t="inlineStr">
        <is>
          <t>가상시립미술관 건립공사(건축)</t>
        </is>
      </c>
      <c r="E4" s="4" t="inlineStr">
        <is>
          <t>일반</t>
        </is>
      </c>
      <c r="F4" s="4" t="inlineStr">
        <is>
          <t>N</t>
        </is>
      </c>
      <c r="G4" s="4" t="inlineStr">
        <is>
          <t>2024-03-05 10:00</t>
        </is>
      </c>
      <c r="H4" s="4" t="inlineStr"/>
      <c r="I4" s="4" t="inlineStr"/>
      <c r="J4" s="4" t="inlineStr">
        <is>
          <t>가상광역시</t>
        </is>
      </c>
      <c r="K4" s="4" t="inlineStr">
        <is>
          <t>가상광역시</t>
        </is>
      </c>
      <c r="L4" s="4" t="inlineStr">
        <is>
          <t>가상광역시 중구</t>
        </is>
      </c>
      <c r="M4" s="9" t="n">
        <v>18200000000</v>
      </c>
      <c r="N4" s="9" t="n">
        <v>20020000000</v>
      </c>
      <c r="O4" s="4" t="inlineStr">
        <is>
          <t>건축공사</t>
        </is>
      </c>
      <c r="P4" s="4" t="inlineStr"/>
      <c r="Q4" s="4" t="inlineStr">
        <is>
          <t>건축</t>
        </is>
      </c>
      <c r="R4" s="4" t="inlineStr">
        <is>
          <t>주공종명</t>
        </is>
      </c>
      <c r="S4" s="4" t="inlineStr">
        <is>
          <t>신축</t>
        </is>
      </c>
      <c r="T4" s="4" t="inlineStr">
        <is>
          <t>신축</t>
        </is>
      </c>
      <c r="U4" s="4" t="inlineStr">
        <is>
          <t>F0002</t>
        </is>
      </c>
      <c r="V4" s="4" t="inlineStr">
        <is>
          <t>가상시립미술관</t>
        </is>
      </c>
      <c r="W4" s="4" t="inlineStr">
        <is>
          <t>F0002-N</t>
        </is>
      </c>
      <c r="X4" s="4" t="inlineStr">
        <is>
          <t>F0002-N|건축|</t>
        </is>
      </c>
      <c r="Y4" s="4" t="b">
        <v>0</v>
      </c>
      <c r="Z4" s="4" t="inlineStr">
        <is>
          <t>20240100001</t>
        </is>
      </c>
      <c r="AA4" s="4" t="inlineStr">
        <is>
          <t>구차수(이후 차수로 대체)</t>
        </is>
      </c>
      <c r="AB4" s="4" t="inlineStr"/>
      <c r="AC4" s="4" t="n">
        <v>1</v>
      </c>
      <c r="AD4" s="4" t="inlineStr">
        <is>
          <t>https://www.g2b.go.kr/x/1</t>
        </is>
      </c>
    </row>
    <row r="5">
      <c r="A5" s="4" t="inlineStr">
        <is>
          <t>20240100001</t>
        </is>
      </c>
      <c r="B5" s="4" t="inlineStr">
        <is>
          <t>01</t>
        </is>
      </c>
      <c r="C5" s="4" t="inlineStr">
        <is>
          <t>20240100001-01</t>
        </is>
      </c>
      <c r="D5" s="4" t="inlineStr">
        <is>
          <t>가상시립미술관 건립공사(건축) [변경]</t>
        </is>
      </c>
      <c r="E5" s="4" t="inlineStr">
        <is>
          <t>변경</t>
        </is>
      </c>
      <c r="F5" s="4" t="inlineStr">
        <is>
          <t>N</t>
        </is>
      </c>
      <c r="G5" s="4" t="inlineStr">
        <is>
          <t>2024-03-12 10:00</t>
        </is>
      </c>
      <c r="H5" s="4" t="inlineStr"/>
      <c r="I5" s="4" t="inlineStr"/>
      <c r="J5" s="4" t="inlineStr">
        <is>
          <t>가상광역시</t>
        </is>
      </c>
      <c r="K5" s="4" t="inlineStr">
        <is>
          <t>가상광역시</t>
        </is>
      </c>
      <c r="L5" s="4" t="inlineStr">
        <is>
          <t>가상광역시 중구</t>
        </is>
      </c>
      <c r="M5" s="9" t="n">
        <v>18200000000</v>
      </c>
      <c r="N5" s="9" t="n">
        <v>20020000000</v>
      </c>
      <c r="O5" s="4" t="inlineStr">
        <is>
          <t>건축공사</t>
        </is>
      </c>
      <c r="P5" s="4" t="inlineStr"/>
      <c r="Q5" s="4" t="inlineStr">
        <is>
          <t>건축</t>
        </is>
      </c>
      <c r="R5" s="4" t="inlineStr">
        <is>
          <t>주공종명</t>
        </is>
      </c>
      <c r="S5" s="4" t="inlineStr">
        <is>
          <t>신축</t>
        </is>
      </c>
      <c r="T5" s="4" t="inlineStr">
        <is>
          <t>신축</t>
        </is>
      </c>
      <c r="U5" s="4" t="inlineStr">
        <is>
          <t>F0002</t>
        </is>
      </c>
      <c r="V5" s="4" t="inlineStr">
        <is>
          <t>가상시립미술관</t>
        </is>
      </c>
      <c r="W5" s="4" t="inlineStr">
        <is>
          <t>F0002-N</t>
        </is>
      </c>
      <c r="X5" s="4" t="inlineStr">
        <is>
          <t>F0002-N|건축|</t>
        </is>
      </c>
      <c r="Y5" s="4" t="b">
        <v>0</v>
      </c>
      <c r="Z5" s="4" t="inlineStr">
        <is>
          <t>20240200002</t>
        </is>
      </c>
      <c r="AA5" s="4" t="inlineStr">
        <is>
          <t>대체됨(이후 재공고/재발주)</t>
        </is>
      </c>
      <c r="AB5" s="4" t="inlineStr"/>
      <c r="AC5" s="4" t="n">
        <v>0</v>
      </c>
      <c r="AD5" s="4" t="inlineStr">
        <is>
          <t>https://www.g2b.go.kr/x/1</t>
        </is>
      </c>
    </row>
    <row r="6">
      <c r="A6" s="4" t="inlineStr">
        <is>
          <t>20240100003</t>
        </is>
      </c>
      <c r="B6" s="4" t="inlineStr">
        <is>
          <t>00</t>
        </is>
      </c>
      <c r="C6" s="4" t="inlineStr">
        <is>
          <t>20240100003-00</t>
        </is>
      </c>
      <c r="D6" s="4" t="inlineStr">
        <is>
          <t>가상시립미술관 건립 전기공사</t>
        </is>
      </c>
      <c r="E6" s="4" t="inlineStr">
        <is>
          <t>일반</t>
        </is>
      </c>
      <c r="F6" s="4" t="inlineStr">
        <is>
          <t>N</t>
        </is>
      </c>
      <c r="G6" s="4" t="inlineStr">
        <is>
          <t>2024-03-06 10:00</t>
        </is>
      </c>
      <c r="H6" s="4" t="inlineStr"/>
      <c r="I6" s="4" t="inlineStr"/>
      <c r="J6" s="4" t="inlineStr">
        <is>
          <t>가상광역시</t>
        </is>
      </c>
      <c r="K6" s="4" t="inlineStr">
        <is>
          <t>가상광역시</t>
        </is>
      </c>
      <c r="L6" s="4" t="inlineStr">
        <is>
          <t>가상광역시 중구</t>
        </is>
      </c>
      <c r="M6" s="9" t="n">
        <v>1450000000</v>
      </c>
      <c r="N6" s="9" t="n">
        <v>1595000000</v>
      </c>
      <c r="O6" s="4" t="inlineStr">
        <is>
          <t>전기공사</t>
        </is>
      </c>
      <c r="P6" s="4" t="inlineStr"/>
      <c r="Q6" s="4" t="inlineStr">
        <is>
          <t>전기</t>
        </is>
      </c>
      <c r="R6" s="4" t="inlineStr">
        <is>
          <t>주공종명</t>
        </is>
      </c>
      <c r="S6" s="4" t="inlineStr">
        <is>
          <t>신축</t>
        </is>
      </c>
      <c r="T6" s="4" t="inlineStr">
        <is>
          <t>신축</t>
        </is>
      </c>
      <c r="U6" s="4" t="inlineStr">
        <is>
          <t>F0002</t>
        </is>
      </c>
      <c r="V6" s="4" t="inlineStr">
        <is>
          <t>가상시립미술관</t>
        </is>
      </c>
      <c r="W6" s="4" t="inlineStr">
        <is>
          <t>F0002-N</t>
        </is>
      </c>
      <c r="X6" s="4" t="inlineStr">
        <is>
          <t>F0002-N|전기|</t>
        </is>
      </c>
      <c r="Y6" s="4" t="b">
        <v>1</v>
      </c>
      <c r="Z6" s="4" t="inlineStr"/>
      <c r="AA6" s="4" t="inlineStr">
        <is>
          <t>단독 공고</t>
        </is>
      </c>
      <c r="AB6" s="4" t="inlineStr"/>
      <c r="AC6" s="4" t="n">
        <v>0</v>
      </c>
      <c r="AD6" s="4" t="inlineStr"/>
    </row>
    <row r="7">
      <c r="A7" s="4" t="inlineStr">
        <is>
          <t>20240100004</t>
        </is>
      </c>
      <c r="B7" s="4" t="inlineStr">
        <is>
          <t>00</t>
        </is>
      </c>
      <c r="C7" s="4" t="inlineStr">
        <is>
          <t>20240100004-00</t>
        </is>
      </c>
      <c r="D7" s="4" t="inlineStr">
        <is>
          <t>가상시립미술관 건립 정보통신공사</t>
        </is>
      </c>
      <c r="E7" s="4" t="inlineStr">
        <is>
          <t>일반</t>
        </is>
      </c>
      <c r="F7" s="4" t="inlineStr">
        <is>
          <t>N</t>
        </is>
      </c>
      <c r="G7" s="4" t="inlineStr">
        <is>
          <t>2024-03-06 11:00</t>
        </is>
      </c>
      <c r="H7" s="4" t="inlineStr"/>
      <c r="I7" s="4" t="inlineStr"/>
      <c r="J7" s="4" t="inlineStr">
        <is>
          <t>가상광역시</t>
        </is>
      </c>
      <c r="K7" s="4" t="inlineStr">
        <is>
          <t>가상광역시</t>
        </is>
      </c>
      <c r="L7" s="4" t="inlineStr">
        <is>
          <t>가상광역시 중구</t>
        </is>
      </c>
      <c r="M7" s="9" t="n">
        <v>620000000</v>
      </c>
      <c r="N7" s="9" t="n">
        <v>682000000</v>
      </c>
      <c r="O7" s="4" t="inlineStr">
        <is>
          <t>정보통신공사</t>
        </is>
      </c>
      <c r="P7" s="4" t="inlineStr"/>
      <c r="Q7" s="4" t="inlineStr">
        <is>
          <t>정보통신</t>
        </is>
      </c>
      <c r="R7" s="4" t="inlineStr">
        <is>
          <t>주공종명</t>
        </is>
      </c>
      <c r="S7" s="4" t="inlineStr">
        <is>
          <t>신축</t>
        </is>
      </c>
      <c r="T7" s="4" t="inlineStr">
        <is>
          <t>신축</t>
        </is>
      </c>
      <c r="U7" s="4" t="inlineStr">
        <is>
          <t>F0002</t>
        </is>
      </c>
      <c r="V7" s="4" t="inlineStr">
        <is>
          <t>가상시립미술관</t>
        </is>
      </c>
      <c r="W7" s="4" t="inlineStr">
        <is>
          <t>F0002-N</t>
        </is>
      </c>
      <c r="X7" s="4" t="inlineStr">
        <is>
          <t>F0002-N|정보통신|</t>
        </is>
      </c>
      <c r="Y7" s="4" t="b">
        <v>1</v>
      </c>
      <c r="Z7" s="4" t="inlineStr"/>
      <c r="AA7" s="4" t="inlineStr">
        <is>
          <t>단독 공고</t>
        </is>
      </c>
      <c r="AB7" s="4" t="inlineStr"/>
      <c r="AC7" s="4" t="n">
        <v>0</v>
      </c>
      <c r="AD7" s="4" t="inlineStr"/>
    </row>
    <row r="8">
      <c r="A8" s="4" t="inlineStr">
        <is>
          <t>20240100005</t>
        </is>
      </c>
      <c r="B8" s="4" t="inlineStr">
        <is>
          <t>00</t>
        </is>
      </c>
      <c r="C8" s="4" t="inlineStr">
        <is>
          <t>20240100005-00</t>
        </is>
      </c>
      <c r="D8" s="4" t="inlineStr">
        <is>
          <t>가상시립미술관 건립 소방시설공사</t>
        </is>
      </c>
      <c r="E8" s="4" t="inlineStr">
        <is>
          <t>취소</t>
        </is>
      </c>
      <c r="F8" s="4" t="inlineStr">
        <is>
          <t>N</t>
        </is>
      </c>
      <c r="G8" s="4" t="inlineStr">
        <is>
          <t>2024-03-07 10:00</t>
        </is>
      </c>
      <c r="H8" s="4" t="inlineStr"/>
      <c r="I8" s="4" t="inlineStr"/>
      <c r="J8" s="4" t="inlineStr">
        <is>
          <t>가상광역시</t>
        </is>
      </c>
      <c r="K8" s="4" t="inlineStr">
        <is>
          <t>가상광역시</t>
        </is>
      </c>
      <c r="L8" s="4" t="inlineStr">
        <is>
          <t>가상광역시 중구</t>
        </is>
      </c>
      <c r="M8" s="9" t="n">
        <v>510000000</v>
      </c>
      <c r="N8" s="9" t="n">
        <v>561000000</v>
      </c>
      <c r="O8" s="4" t="inlineStr">
        <is>
          <t>소방공사</t>
        </is>
      </c>
      <c r="P8" s="4" t="inlineStr"/>
      <c r="Q8" s="4" t="inlineStr">
        <is>
          <t>소방</t>
        </is>
      </c>
      <c r="R8" s="4" t="inlineStr">
        <is>
          <t>주공종명</t>
        </is>
      </c>
      <c r="S8" s="4" t="inlineStr">
        <is>
          <t>신축</t>
        </is>
      </c>
      <c r="T8" s="4" t="inlineStr">
        <is>
          <t>신축</t>
        </is>
      </c>
      <c r="U8" s="4" t="inlineStr">
        <is>
          <t>F0002</t>
        </is>
      </c>
      <c r="V8" s="4" t="inlineStr">
        <is>
          <t>가상시립미술관</t>
        </is>
      </c>
      <c r="W8" s="4" t="inlineStr">
        <is>
          <t>F0002-N</t>
        </is>
      </c>
      <c r="X8" s="4" t="inlineStr">
        <is>
          <t>F0002-N|소방|</t>
        </is>
      </c>
      <c r="Y8" s="4" t="b">
        <v>0</v>
      </c>
      <c r="Z8" s="4" t="inlineStr">
        <is>
          <t>20240300006</t>
        </is>
      </c>
      <c r="AA8" s="4" t="inlineStr">
        <is>
          <t>취소공고</t>
        </is>
      </c>
      <c r="AB8" s="4" t="inlineStr"/>
      <c r="AC8" s="4" t="n">
        <v>0</v>
      </c>
      <c r="AD8" s="4" t="inlineStr"/>
    </row>
    <row r="9">
      <c r="A9" s="4" t="inlineStr">
        <is>
          <t>20240200002</t>
        </is>
      </c>
      <c r="B9" s="4" t="inlineStr">
        <is>
          <t>00</t>
        </is>
      </c>
      <c r="C9" s="4" t="inlineStr">
        <is>
          <t>20240200002-00</t>
        </is>
      </c>
      <c r="D9" s="4" t="inlineStr">
        <is>
          <t>가상시립미술관 건립공사(건축) 재공고</t>
        </is>
      </c>
      <c r="E9" s="4" t="inlineStr">
        <is>
          <t>재공고</t>
        </is>
      </c>
      <c r="F9" s="4" t="inlineStr">
        <is>
          <t>Y</t>
        </is>
      </c>
      <c r="G9" s="4" t="inlineStr">
        <is>
          <t>2024-05-20 10:00</t>
        </is>
      </c>
      <c r="H9" s="4" t="inlineStr"/>
      <c r="I9" s="4" t="inlineStr"/>
      <c r="J9" s="4" t="inlineStr">
        <is>
          <t>가상광역시</t>
        </is>
      </c>
      <c r="K9" s="4" t="inlineStr">
        <is>
          <t>가상광역시</t>
        </is>
      </c>
      <c r="L9" s="4" t="inlineStr">
        <is>
          <t>가상광역시 중구</t>
        </is>
      </c>
      <c r="M9" s="9" t="n">
        <v>19100000000</v>
      </c>
      <c r="N9" s="9" t="n">
        <v>21010000000</v>
      </c>
      <c r="O9" s="4" t="inlineStr">
        <is>
          <t>건축공사</t>
        </is>
      </c>
      <c r="P9" s="4" t="inlineStr"/>
      <c r="Q9" s="4" t="inlineStr">
        <is>
          <t>건축</t>
        </is>
      </c>
      <c r="R9" s="4" t="inlineStr">
        <is>
          <t>주공종명</t>
        </is>
      </c>
      <c r="S9" s="4" t="inlineStr">
        <is>
          <t>신축</t>
        </is>
      </c>
      <c r="T9" s="4" t="inlineStr">
        <is>
          <t>신축</t>
        </is>
      </c>
      <c r="U9" s="4" t="inlineStr">
        <is>
          <t>F0002</t>
        </is>
      </c>
      <c r="V9" s="4" t="inlineStr">
        <is>
          <t>가상시립미술관</t>
        </is>
      </c>
      <c r="W9" s="4" t="inlineStr">
        <is>
          <t>F0002-N</t>
        </is>
      </c>
      <c r="X9" s="4" t="inlineStr">
        <is>
          <t>F0002-N|건축|</t>
        </is>
      </c>
      <c r="Y9" s="4" t="b">
        <v>1</v>
      </c>
      <c r="Z9" s="4" t="inlineStr"/>
      <c r="AA9" s="4" t="inlineStr">
        <is>
          <t>최신 공고 채택(2건 중)</t>
        </is>
      </c>
      <c r="AB9" s="4" t="inlineStr"/>
      <c r="AC9" s="4" t="n">
        <v>0</v>
      </c>
      <c r="AD9" s="4" t="inlineStr">
        <is>
          <t>https://www.g2b.go.kr/x/2</t>
        </is>
      </c>
    </row>
    <row r="10">
      <c r="A10" s="4" t="inlineStr">
        <is>
          <t>20240300006</t>
        </is>
      </c>
      <c r="B10" s="4" t="inlineStr">
        <is>
          <t>00</t>
        </is>
      </c>
      <c r="C10" s="4" t="inlineStr">
        <is>
          <t>20240300006-00</t>
        </is>
      </c>
      <c r="D10" s="4" t="inlineStr">
        <is>
          <t>가상시립미술관 건립 소방시설공사(재공고)</t>
        </is>
      </c>
      <c r="E10" s="4" t="inlineStr">
        <is>
          <t>재공고</t>
        </is>
      </c>
      <c r="F10" s="4" t="inlineStr">
        <is>
          <t>Y</t>
        </is>
      </c>
      <c r="G10" s="4" t="inlineStr">
        <is>
          <t>2024-04-15 10:00</t>
        </is>
      </c>
      <c r="H10" s="4" t="inlineStr"/>
      <c r="I10" s="4" t="inlineStr"/>
      <c r="J10" s="4" t="inlineStr">
        <is>
          <t>가상광역시</t>
        </is>
      </c>
      <c r="K10" s="4" t="inlineStr">
        <is>
          <t>가상광역시</t>
        </is>
      </c>
      <c r="L10" s="4" t="inlineStr">
        <is>
          <t>가상광역시 중구</t>
        </is>
      </c>
      <c r="M10" s="9" t="n">
        <v>530000000</v>
      </c>
      <c r="N10" s="9" t="n">
        <v>583000000</v>
      </c>
      <c r="O10" s="4" t="inlineStr">
        <is>
          <t>소방공사</t>
        </is>
      </c>
      <c r="P10" s="4" t="inlineStr"/>
      <c r="Q10" s="4" t="inlineStr">
        <is>
          <t>소방</t>
        </is>
      </c>
      <c r="R10" s="4" t="inlineStr">
        <is>
          <t>주공종명</t>
        </is>
      </c>
      <c r="S10" s="4" t="inlineStr">
        <is>
          <t>신축</t>
        </is>
      </c>
      <c r="T10" s="4" t="inlineStr">
        <is>
          <t>신축</t>
        </is>
      </c>
      <c r="U10" s="4" t="inlineStr">
        <is>
          <t>F0002</t>
        </is>
      </c>
      <c r="V10" s="4" t="inlineStr">
        <is>
          <t>가상시립미술관</t>
        </is>
      </c>
      <c r="W10" s="4" t="inlineStr">
        <is>
          <t>F0002-N</t>
        </is>
      </c>
      <c r="X10" s="4" t="inlineStr">
        <is>
          <t>F0002-N|소방|</t>
        </is>
      </c>
      <c r="Y10" s="4" t="b">
        <v>1</v>
      </c>
      <c r="Z10" s="4" t="inlineStr"/>
      <c r="AA10" s="4" t="inlineStr">
        <is>
          <t>단독 공고, 취소 1건 제외</t>
        </is>
      </c>
      <c r="AB10" s="4" t="inlineStr"/>
      <c r="AC10" s="4" t="n">
        <v>0</v>
      </c>
      <c r="AD10" s="4" t="inlineStr"/>
    </row>
    <row r="11">
      <c r="A11" s="4" t="inlineStr">
        <is>
          <t>20260500011</t>
        </is>
      </c>
      <c r="B11" s="4" t="inlineStr">
        <is>
          <t>00</t>
        </is>
      </c>
      <c r="C11" s="4" t="inlineStr">
        <is>
          <t>20260500011-00</t>
        </is>
      </c>
      <c r="D11" s="4" t="inlineStr">
        <is>
          <t>가상시립미술관 노후시설 개보수공사(건축)</t>
        </is>
      </c>
      <c r="E11" s="4" t="inlineStr">
        <is>
          <t>일반</t>
        </is>
      </c>
      <c r="F11" s="4" t="inlineStr">
        <is>
          <t>N</t>
        </is>
      </c>
      <c r="G11" s="4" t="inlineStr">
        <is>
          <t>2026-05-02 10:00</t>
        </is>
      </c>
      <c r="H11" s="4" t="inlineStr"/>
      <c r="I11" s="4" t="inlineStr"/>
      <c r="J11" s="4" t="inlineStr">
        <is>
          <t>가상광역시</t>
        </is>
      </c>
      <c r="K11" s="4" t="inlineStr">
        <is>
          <t>가상광역시</t>
        </is>
      </c>
      <c r="L11" s="4" t="inlineStr">
        <is>
          <t>가상광역시 중구</t>
        </is>
      </c>
      <c r="M11" s="9" t="n">
        <v>4200000000</v>
      </c>
      <c r="N11" s="9" t="n">
        <v>4620000000</v>
      </c>
      <c r="O11" s="4" t="inlineStr">
        <is>
          <t>건축공사</t>
        </is>
      </c>
      <c r="P11" s="4" t="inlineStr"/>
      <c r="Q11" s="4" t="inlineStr">
        <is>
          <t>건축</t>
        </is>
      </c>
      <c r="R11" s="4" t="inlineStr">
        <is>
          <t>주공종명</t>
        </is>
      </c>
      <c r="S11" s="4" t="inlineStr">
        <is>
          <t>리모델링</t>
        </is>
      </c>
      <c r="T11" s="4" t="inlineStr">
        <is>
          <t>리모델링</t>
        </is>
      </c>
      <c r="U11" s="4" t="inlineStr">
        <is>
          <t>F0002</t>
        </is>
      </c>
      <c r="V11" s="4" t="inlineStr">
        <is>
          <t>가상시립미술관</t>
        </is>
      </c>
      <c r="W11" s="4" t="inlineStr">
        <is>
          <t>F0002-R</t>
        </is>
      </c>
      <c r="X11" s="4" t="inlineStr">
        <is>
          <t>F0002-R|건축|</t>
        </is>
      </c>
      <c r="Y11" s="4" t="b">
        <v>1</v>
      </c>
      <c r="Z11" s="4" t="inlineStr"/>
      <c r="AA11" s="4" t="inlineStr">
        <is>
          <t>단독 공고</t>
        </is>
      </c>
      <c r="AB11" s="4" t="inlineStr"/>
      <c r="AC11" s="4" t="n">
        <v>0</v>
      </c>
      <c r="AD11" s="4" t="inlineStr"/>
    </row>
    <row r="12">
      <c r="A12" s="4" t="inlineStr">
        <is>
          <t>20260500012</t>
        </is>
      </c>
      <c r="B12" s="4" t="inlineStr">
        <is>
          <t>00</t>
        </is>
      </c>
      <c r="C12" s="4" t="inlineStr">
        <is>
          <t>20260500012-00</t>
        </is>
      </c>
      <c r="D12" s="4" t="inlineStr">
        <is>
          <t>가상시립미술관 전기공사</t>
        </is>
      </c>
      <c r="E12" s="4" t="inlineStr">
        <is>
          <t>일반</t>
        </is>
      </c>
      <c r="F12" s="4" t="inlineStr">
        <is>
          <t>N</t>
        </is>
      </c>
      <c r="G12" s="4" t="inlineStr">
        <is>
          <t>2026-05-03 10:00</t>
        </is>
      </c>
      <c r="H12" s="4" t="inlineStr"/>
      <c r="I12" s="4" t="inlineStr"/>
      <c r="J12" s="4" t="inlineStr">
        <is>
          <t>가상광역시</t>
        </is>
      </c>
      <c r="K12" s="4" t="inlineStr">
        <is>
          <t>가상광역시</t>
        </is>
      </c>
      <c r="L12" s="4" t="inlineStr">
        <is>
          <t>가상광역시 중구</t>
        </is>
      </c>
      <c r="M12" s="9" t="n">
        <v>380000000</v>
      </c>
      <c r="N12" s="9" t="n">
        <v>418000000</v>
      </c>
      <c r="O12" s="4" t="inlineStr">
        <is>
          <t>전기공사</t>
        </is>
      </c>
      <c r="P12" s="4" t="inlineStr"/>
      <c r="Q12" s="4" t="inlineStr">
        <is>
          <t>전기</t>
        </is>
      </c>
      <c r="R12" s="4" t="inlineStr">
        <is>
          <t>주공종명</t>
        </is>
      </c>
      <c r="S12" s="4" t="inlineStr">
        <is>
          <t>리모델링</t>
        </is>
      </c>
      <c r="T12" s="4" t="inlineStr">
        <is>
          <t>미분류</t>
        </is>
      </c>
      <c r="U12" s="4" t="inlineStr">
        <is>
          <t>F0002</t>
        </is>
      </c>
      <c r="V12" s="4" t="inlineStr">
        <is>
          <t>가상시립미술관</t>
        </is>
      </c>
      <c r="W12" s="4" t="inlineStr">
        <is>
          <t>F0002-R</t>
        </is>
      </c>
      <c r="X12" s="4" t="inlineStr">
        <is>
          <t>F0002-R|전기|</t>
        </is>
      </c>
      <c r="Y12" s="4" t="b">
        <v>1</v>
      </c>
      <c r="Z12" s="4" t="inlineStr"/>
      <c r="AA12" s="4" t="inlineStr">
        <is>
          <t>단독 공고</t>
        </is>
      </c>
      <c r="AB12" s="4" t="inlineStr"/>
      <c r="AC12" s="4" t="n">
        <v>0</v>
      </c>
      <c r="AD12" s="4" t="inlineStr"/>
    </row>
  </sheetData>
  <autoFilter ref="A1:A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.4" customWidth="1" min="2" max="2"/>
    <col width="10" customWidth="1" min="3" max="3"/>
    <col width="60" customWidth="1" min="4" max="4"/>
    <col width="10.4" customWidth="1" min="5" max="5"/>
    <col width="12" customWidth="1" min="6" max="6"/>
    <col width="10.4" customWidth="1" min="7" max="7"/>
    <col width="13.6" customWidth="1" min="8" max="8"/>
    <col width="10.4" customWidth="1" min="9" max="9"/>
    <col width="24" customWidth="1" min="10" max="10"/>
    <col width="24" customWidth="1" min="11" max="11"/>
    <col width="13.6" customWidth="1" min="12" max="12"/>
    <col width="10.4" customWidth="1" min="13" max="13"/>
    <col width="10.4" customWidth="1" min="14" max="14"/>
    <col width="10.4" customWidth="1" min="15" max="15"/>
    <col width="13.6" customWidth="1" min="16" max="16"/>
    <col width="10" customWidth="1" min="17" max="17"/>
    <col width="10.4" customWidth="1" min="18" max="18"/>
    <col width="10.4" customWidth="1" min="19" max="19"/>
    <col width="16.8" customWidth="1" min="20" max="20"/>
    <col width="10.4" customWidth="1" min="21" max="21"/>
    <col width="10" customWidth="1" min="22" max="22"/>
    <col width="13.6" customWidth="1" min="23" max="23"/>
    <col width="26" customWidth="1" min="24" max="24"/>
    <col width="10.4" customWidth="1" min="25" max="25"/>
    <col width="13.6" customWidth="1" min="26" max="26"/>
    <col width="13.6" customWidth="1" min="27" max="27"/>
    <col width="13.6" customWidth="1" min="28" max="28"/>
    <col width="12" customWidth="1" min="29" max="29"/>
    <col width="40" customWidth="1" min="30" max="30"/>
  </cols>
  <sheetData>
    <row r="1">
      <c r="A1" s="3" t="inlineStr">
        <is>
          <t>공고번호</t>
        </is>
      </c>
      <c r="B1" s="3" t="inlineStr">
        <is>
          <t>공고차수</t>
        </is>
      </c>
      <c r="C1" s="3" t="inlineStr">
        <is>
          <t>공고키</t>
        </is>
      </c>
      <c r="D1" s="3" t="inlineStr">
        <is>
          <t>공고명</t>
        </is>
      </c>
      <c r="E1" s="3" t="inlineStr">
        <is>
          <t>공고종류</t>
        </is>
      </c>
      <c r="F1" s="3" t="inlineStr">
        <is>
          <t>재공고여부</t>
        </is>
      </c>
      <c r="G1" s="3" t="inlineStr">
        <is>
          <t>공고일시</t>
        </is>
      </c>
      <c r="H1" s="3" t="inlineStr">
        <is>
          <t>입찰마감일시</t>
        </is>
      </c>
      <c r="I1" s="3" t="inlineStr">
        <is>
          <t>개찰일시</t>
        </is>
      </c>
      <c r="J1" s="3" t="inlineStr">
        <is>
          <t>공고기관</t>
        </is>
      </c>
      <c r="K1" s="3" t="inlineStr">
        <is>
          <t>수요기관</t>
        </is>
      </c>
      <c r="L1" s="3" t="inlineStr">
        <is>
          <t>공사현장지역</t>
        </is>
      </c>
      <c r="M1" s="3" t="inlineStr">
        <is>
          <t>추정가격</t>
        </is>
      </c>
      <c r="N1" s="3" t="inlineStr">
        <is>
          <t>기초금액</t>
        </is>
      </c>
      <c r="O1" s="3" t="inlineStr">
        <is>
          <t>주공종명</t>
        </is>
      </c>
      <c r="P1" s="3" t="inlineStr">
        <is>
          <t>면허제한업종</t>
        </is>
      </c>
      <c r="Q1" s="3" t="inlineStr">
        <is>
          <t>공종</t>
        </is>
      </c>
      <c r="R1" s="3" t="inlineStr">
        <is>
          <t>공종근거</t>
        </is>
      </c>
      <c r="S1" s="3" t="inlineStr">
        <is>
          <t>사업유형</t>
        </is>
      </c>
      <c r="T1" s="3" t="inlineStr">
        <is>
          <t>사업유형_원분류</t>
        </is>
      </c>
      <c r="U1" s="3" t="inlineStr">
        <is>
          <t>시설ID</t>
        </is>
      </c>
      <c r="V1" s="3" t="inlineStr">
        <is>
          <t>시설명</t>
        </is>
      </c>
      <c r="W1" s="3" t="inlineStr">
        <is>
          <t>프로젝트ID</t>
        </is>
      </c>
      <c r="X1" s="3" t="inlineStr">
        <is>
          <t>프로젝트키</t>
        </is>
      </c>
      <c r="Y1" s="3" t="inlineStr">
        <is>
          <t>최신여부</t>
        </is>
      </c>
      <c r="Z1" s="3" t="inlineStr">
        <is>
          <t>대체공고번호</t>
        </is>
      </c>
      <c r="AA1" s="3" t="inlineStr">
        <is>
          <t>대표선정사유</t>
        </is>
      </c>
      <c r="AB1" s="3" t="inlineStr">
        <is>
          <t>사전규격번호</t>
        </is>
      </c>
      <c r="AC1" s="3" t="inlineStr">
        <is>
          <t>첨부파일수</t>
        </is>
      </c>
      <c r="AD1" s="3" t="inlineStr">
        <is>
          <t>상세URL</t>
        </is>
      </c>
    </row>
    <row r="2">
      <c r="A2" s="4" t="inlineStr">
        <is>
          <t>20250100008</t>
        </is>
      </c>
      <c r="B2" s="4" t="inlineStr">
        <is>
          <t>00</t>
        </is>
      </c>
      <c r="C2" s="4" t="inlineStr">
        <is>
          <t>20250100008-00</t>
        </is>
      </c>
      <c r="D2" s="4" t="inlineStr">
        <is>
          <t>예시군 문화예술회관 건립공사</t>
        </is>
      </c>
      <c r="E2" s="4" t="inlineStr">
        <is>
          <t>일반</t>
        </is>
      </c>
      <c r="F2" s="4" t="inlineStr">
        <is>
          <t>N</t>
        </is>
      </c>
      <c r="G2" s="4" t="inlineStr">
        <is>
          <t>2025-02-10 10:00</t>
        </is>
      </c>
      <c r="H2" s="4" t="inlineStr"/>
      <c r="I2" s="4" t="inlineStr"/>
      <c r="J2" s="4" t="inlineStr">
        <is>
          <t>예시군</t>
        </is>
      </c>
      <c r="K2" s="4" t="inlineStr">
        <is>
          <t>예시군</t>
        </is>
      </c>
      <c r="L2" s="4" t="inlineStr">
        <is>
          <t>전라남도 예시군</t>
        </is>
      </c>
      <c r="M2" s="9" t="n">
        <v>32000000000</v>
      </c>
      <c r="N2" s="9" t="n">
        <v>35200000000</v>
      </c>
      <c r="O2" s="4" t="inlineStr">
        <is>
          <t>건축공사</t>
        </is>
      </c>
      <c r="P2" s="4" t="inlineStr"/>
      <c r="Q2" s="4" t="inlineStr">
        <is>
          <t>건축</t>
        </is>
      </c>
      <c r="R2" s="4" t="inlineStr">
        <is>
          <t>주공종명</t>
        </is>
      </c>
      <c r="S2" s="4" t="inlineStr">
        <is>
          <t>신축</t>
        </is>
      </c>
      <c r="T2" s="4" t="inlineStr">
        <is>
          <t>신축</t>
        </is>
      </c>
      <c r="U2" s="4" t="inlineStr">
        <is>
          <t>F0001</t>
        </is>
      </c>
      <c r="V2" s="4" t="inlineStr">
        <is>
          <t>예시군 문화예술회관</t>
        </is>
      </c>
      <c r="W2" s="4" t="inlineStr">
        <is>
          <t>F0001-N</t>
        </is>
      </c>
      <c r="X2" s="4" t="inlineStr">
        <is>
          <t>F0001-N|건축|</t>
        </is>
      </c>
      <c r="Y2" s="4" t="b">
        <v>1</v>
      </c>
      <c r="Z2" s="4" t="inlineStr"/>
      <c r="AA2" s="4" t="inlineStr">
        <is>
          <t>단독 공고</t>
        </is>
      </c>
      <c r="AB2" s="4" t="inlineStr"/>
      <c r="AC2" s="4" t="n">
        <v>0</v>
      </c>
      <c r="AD2" s="4" t="inlineStr"/>
    </row>
    <row r="3">
      <c r="A3" s="4" t="inlineStr">
        <is>
          <t>20250100009</t>
        </is>
      </c>
      <c r="B3" s="4" t="inlineStr">
        <is>
          <t>00</t>
        </is>
      </c>
      <c r="C3" s="4" t="inlineStr">
        <is>
          <t>20250100009-00</t>
        </is>
      </c>
      <c r="D3" s="4" t="inlineStr">
        <is>
          <t>예시군 문화예술회관 건립 전기공사</t>
        </is>
      </c>
      <c r="E3" s="4" t="inlineStr">
        <is>
          <t>일반</t>
        </is>
      </c>
      <c r="F3" s="4" t="inlineStr">
        <is>
          <t>N</t>
        </is>
      </c>
      <c r="G3" s="4" t="inlineStr">
        <is>
          <t>2025-02-10 11:00</t>
        </is>
      </c>
      <c r="H3" s="4" t="inlineStr"/>
      <c r="I3" s="4" t="inlineStr"/>
      <c r="J3" s="4" t="inlineStr">
        <is>
          <t>예시군</t>
        </is>
      </c>
      <c r="K3" s="4" t="inlineStr">
        <is>
          <t>예시군</t>
        </is>
      </c>
      <c r="L3" s="4" t="inlineStr">
        <is>
          <t>전라남도 예시군</t>
        </is>
      </c>
      <c r="M3" s="9" t="n">
        <v>2600000000</v>
      </c>
      <c r="N3" s="9" t="n">
        <v>2860000000</v>
      </c>
      <c r="O3" s="4" t="inlineStr">
        <is>
          <t>전기공사</t>
        </is>
      </c>
      <c r="P3" s="4" t="inlineStr"/>
      <c r="Q3" s="4" t="inlineStr">
        <is>
          <t>전기</t>
        </is>
      </c>
      <c r="R3" s="4" t="inlineStr">
        <is>
          <t>주공종명</t>
        </is>
      </c>
      <c r="S3" s="4" t="inlineStr">
        <is>
          <t>신축</t>
        </is>
      </c>
      <c r="T3" s="4" t="inlineStr">
        <is>
          <t>신축</t>
        </is>
      </c>
      <c r="U3" s="4" t="inlineStr">
        <is>
          <t>F0001</t>
        </is>
      </c>
      <c r="V3" s="4" t="inlineStr">
        <is>
          <t>예시군 문화예술회관</t>
        </is>
      </c>
      <c r="W3" s="4" t="inlineStr">
        <is>
          <t>F0001-N</t>
        </is>
      </c>
      <c r="X3" s="4" t="inlineStr">
        <is>
          <t>F0001-N|전기|</t>
        </is>
      </c>
      <c r="Y3" s="4" t="b">
        <v>1</v>
      </c>
      <c r="Z3" s="4" t="inlineStr"/>
      <c r="AA3" s="4" t="inlineStr">
        <is>
          <t>단독 공고</t>
        </is>
      </c>
      <c r="AB3" s="4" t="inlineStr"/>
      <c r="AC3" s="4" t="n">
        <v>0</v>
      </c>
      <c r="AD3" s="4" t="inlineStr"/>
    </row>
    <row r="4">
      <c r="A4" s="4" t="inlineStr">
        <is>
          <t>20240100003</t>
        </is>
      </c>
      <c r="B4" s="4" t="inlineStr">
        <is>
          <t>00</t>
        </is>
      </c>
      <c r="C4" s="4" t="inlineStr">
        <is>
          <t>20240100003-00</t>
        </is>
      </c>
      <c r="D4" s="4" t="inlineStr">
        <is>
          <t>가상시립미술관 건립 전기공사</t>
        </is>
      </c>
      <c r="E4" s="4" t="inlineStr">
        <is>
          <t>일반</t>
        </is>
      </c>
      <c r="F4" s="4" t="inlineStr">
        <is>
          <t>N</t>
        </is>
      </c>
      <c r="G4" s="4" t="inlineStr">
        <is>
          <t>2024-03-06 10:00</t>
        </is>
      </c>
      <c r="H4" s="4" t="inlineStr"/>
      <c r="I4" s="4" t="inlineStr"/>
      <c r="J4" s="4" t="inlineStr">
        <is>
          <t>가상광역시</t>
        </is>
      </c>
      <c r="K4" s="4" t="inlineStr">
        <is>
          <t>가상광역시</t>
        </is>
      </c>
      <c r="L4" s="4" t="inlineStr">
        <is>
          <t>가상광역시 중구</t>
        </is>
      </c>
      <c r="M4" s="9" t="n">
        <v>1450000000</v>
      </c>
      <c r="N4" s="9" t="n">
        <v>1595000000</v>
      </c>
      <c r="O4" s="4" t="inlineStr">
        <is>
          <t>전기공사</t>
        </is>
      </c>
      <c r="P4" s="4" t="inlineStr"/>
      <c r="Q4" s="4" t="inlineStr">
        <is>
          <t>전기</t>
        </is>
      </c>
      <c r="R4" s="4" t="inlineStr">
        <is>
          <t>주공종명</t>
        </is>
      </c>
      <c r="S4" s="4" t="inlineStr">
        <is>
          <t>신축</t>
        </is>
      </c>
      <c r="T4" s="4" t="inlineStr">
        <is>
          <t>신축</t>
        </is>
      </c>
      <c r="U4" s="4" t="inlineStr">
        <is>
          <t>F0002</t>
        </is>
      </c>
      <c r="V4" s="4" t="inlineStr">
        <is>
          <t>가상시립미술관</t>
        </is>
      </c>
      <c r="W4" s="4" t="inlineStr">
        <is>
          <t>F0002-N</t>
        </is>
      </c>
      <c r="X4" s="4" t="inlineStr">
        <is>
          <t>F0002-N|전기|</t>
        </is>
      </c>
      <c r="Y4" s="4" t="b">
        <v>1</v>
      </c>
      <c r="Z4" s="4" t="inlineStr"/>
      <c r="AA4" s="4" t="inlineStr">
        <is>
          <t>단독 공고</t>
        </is>
      </c>
      <c r="AB4" s="4" t="inlineStr"/>
      <c r="AC4" s="4" t="n">
        <v>0</v>
      </c>
      <c r="AD4" s="4" t="inlineStr"/>
    </row>
    <row r="5">
      <c r="A5" s="4" t="inlineStr">
        <is>
          <t>20240100004</t>
        </is>
      </c>
      <c r="B5" s="4" t="inlineStr">
        <is>
          <t>00</t>
        </is>
      </c>
      <c r="C5" s="4" t="inlineStr">
        <is>
          <t>20240100004-00</t>
        </is>
      </c>
      <c r="D5" s="4" t="inlineStr">
        <is>
          <t>가상시립미술관 건립 정보통신공사</t>
        </is>
      </c>
      <c r="E5" s="4" t="inlineStr">
        <is>
          <t>일반</t>
        </is>
      </c>
      <c r="F5" s="4" t="inlineStr">
        <is>
          <t>N</t>
        </is>
      </c>
      <c r="G5" s="4" t="inlineStr">
        <is>
          <t>2024-03-06 11:00</t>
        </is>
      </c>
      <c r="H5" s="4" t="inlineStr"/>
      <c r="I5" s="4" t="inlineStr"/>
      <c r="J5" s="4" t="inlineStr">
        <is>
          <t>가상광역시</t>
        </is>
      </c>
      <c r="K5" s="4" t="inlineStr">
        <is>
          <t>가상광역시</t>
        </is>
      </c>
      <c r="L5" s="4" t="inlineStr">
        <is>
          <t>가상광역시 중구</t>
        </is>
      </c>
      <c r="M5" s="9" t="n">
        <v>620000000</v>
      </c>
      <c r="N5" s="9" t="n">
        <v>682000000</v>
      </c>
      <c r="O5" s="4" t="inlineStr">
        <is>
          <t>정보통신공사</t>
        </is>
      </c>
      <c r="P5" s="4" t="inlineStr"/>
      <c r="Q5" s="4" t="inlineStr">
        <is>
          <t>정보통신</t>
        </is>
      </c>
      <c r="R5" s="4" t="inlineStr">
        <is>
          <t>주공종명</t>
        </is>
      </c>
      <c r="S5" s="4" t="inlineStr">
        <is>
          <t>신축</t>
        </is>
      </c>
      <c r="T5" s="4" t="inlineStr">
        <is>
          <t>신축</t>
        </is>
      </c>
      <c r="U5" s="4" t="inlineStr">
        <is>
          <t>F0002</t>
        </is>
      </c>
      <c r="V5" s="4" t="inlineStr">
        <is>
          <t>가상시립미술관</t>
        </is>
      </c>
      <c r="W5" s="4" t="inlineStr">
        <is>
          <t>F0002-N</t>
        </is>
      </c>
      <c r="X5" s="4" t="inlineStr">
        <is>
          <t>F0002-N|정보통신|</t>
        </is>
      </c>
      <c r="Y5" s="4" t="b">
        <v>1</v>
      </c>
      <c r="Z5" s="4" t="inlineStr"/>
      <c r="AA5" s="4" t="inlineStr">
        <is>
          <t>단독 공고</t>
        </is>
      </c>
      <c r="AB5" s="4" t="inlineStr"/>
      <c r="AC5" s="4" t="n">
        <v>0</v>
      </c>
      <c r="AD5" s="4" t="inlineStr"/>
    </row>
    <row r="6">
      <c r="A6" s="4" t="inlineStr">
        <is>
          <t>20240200002</t>
        </is>
      </c>
      <c r="B6" s="4" t="inlineStr">
        <is>
          <t>00</t>
        </is>
      </c>
      <c r="C6" s="4" t="inlineStr">
        <is>
          <t>20240200002-00</t>
        </is>
      </c>
      <c r="D6" s="4" t="inlineStr">
        <is>
          <t>가상시립미술관 건립공사(건축) 재공고</t>
        </is>
      </c>
      <c r="E6" s="4" t="inlineStr">
        <is>
          <t>재공고</t>
        </is>
      </c>
      <c r="F6" s="4" t="inlineStr">
        <is>
          <t>Y</t>
        </is>
      </c>
      <c r="G6" s="4" t="inlineStr">
        <is>
          <t>2024-05-20 10:00</t>
        </is>
      </c>
      <c r="H6" s="4" t="inlineStr"/>
      <c r="I6" s="4" t="inlineStr"/>
      <c r="J6" s="4" t="inlineStr">
        <is>
          <t>가상광역시</t>
        </is>
      </c>
      <c r="K6" s="4" t="inlineStr">
        <is>
          <t>가상광역시</t>
        </is>
      </c>
      <c r="L6" s="4" t="inlineStr">
        <is>
          <t>가상광역시 중구</t>
        </is>
      </c>
      <c r="M6" s="9" t="n">
        <v>19100000000</v>
      </c>
      <c r="N6" s="9" t="n">
        <v>21010000000</v>
      </c>
      <c r="O6" s="4" t="inlineStr">
        <is>
          <t>건축공사</t>
        </is>
      </c>
      <c r="P6" s="4" t="inlineStr"/>
      <c r="Q6" s="4" t="inlineStr">
        <is>
          <t>건축</t>
        </is>
      </c>
      <c r="R6" s="4" t="inlineStr">
        <is>
          <t>주공종명</t>
        </is>
      </c>
      <c r="S6" s="4" t="inlineStr">
        <is>
          <t>신축</t>
        </is>
      </c>
      <c r="T6" s="4" t="inlineStr">
        <is>
          <t>신축</t>
        </is>
      </c>
      <c r="U6" s="4" t="inlineStr">
        <is>
          <t>F0002</t>
        </is>
      </c>
      <c r="V6" s="4" t="inlineStr">
        <is>
          <t>가상시립미술관</t>
        </is>
      </c>
      <c r="W6" s="4" t="inlineStr">
        <is>
          <t>F0002-N</t>
        </is>
      </c>
      <c r="X6" s="4" t="inlineStr">
        <is>
          <t>F0002-N|건축|</t>
        </is>
      </c>
      <c r="Y6" s="4" t="b">
        <v>1</v>
      </c>
      <c r="Z6" s="4" t="inlineStr"/>
      <c r="AA6" s="4" t="inlineStr">
        <is>
          <t>최신 공고 채택(2건 중)</t>
        </is>
      </c>
      <c r="AB6" s="4" t="inlineStr"/>
      <c r="AC6" s="4" t="n">
        <v>0</v>
      </c>
      <c r="AD6" s="4" t="inlineStr">
        <is>
          <t>https://www.g2b.go.kr/x/2</t>
        </is>
      </c>
    </row>
    <row r="7">
      <c r="A7" s="4" t="inlineStr">
        <is>
          <t>20240300006</t>
        </is>
      </c>
      <c r="B7" s="4" t="inlineStr">
        <is>
          <t>00</t>
        </is>
      </c>
      <c r="C7" s="4" t="inlineStr">
        <is>
          <t>20240300006-00</t>
        </is>
      </c>
      <c r="D7" s="4" t="inlineStr">
        <is>
          <t>가상시립미술관 건립 소방시설공사(재공고)</t>
        </is>
      </c>
      <c r="E7" s="4" t="inlineStr">
        <is>
          <t>재공고</t>
        </is>
      </c>
      <c r="F7" s="4" t="inlineStr">
        <is>
          <t>Y</t>
        </is>
      </c>
      <c r="G7" s="4" t="inlineStr">
        <is>
          <t>2024-04-15 10:00</t>
        </is>
      </c>
      <c r="H7" s="4" t="inlineStr"/>
      <c r="I7" s="4" t="inlineStr"/>
      <c r="J7" s="4" t="inlineStr">
        <is>
          <t>가상광역시</t>
        </is>
      </c>
      <c r="K7" s="4" t="inlineStr">
        <is>
          <t>가상광역시</t>
        </is>
      </c>
      <c r="L7" s="4" t="inlineStr">
        <is>
          <t>가상광역시 중구</t>
        </is>
      </c>
      <c r="M7" s="9" t="n">
        <v>530000000</v>
      </c>
      <c r="N7" s="9" t="n">
        <v>583000000</v>
      </c>
      <c r="O7" s="4" t="inlineStr">
        <is>
          <t>소방공사</t>
        </is>
      </c>
      <c r="P7" s="4" t="inlineStr"/>
      <c r="Q7" s="4" t="inlineStr">
        <is>
          <t>소방</t>
        </is>
      </c>
      <c r="R7" s="4" t="inlineStr">
        <is>
          <t>주공종명</t>
        </is>
      </c>
      <c r="S7" s="4" t="inlineStr">
        <is>
          <t>신축</t>
        </is>
      </c>
      <c r="T7" s="4" t="inlineStr">
        <is>
          <t>신축</t>
        </is>
      </c>
      <c r="U7" s="4" t="inlineStr">
        <is>
          <t>F0002</t>
        </is>
      </c>
      <c r="V7" s="4" t="inlineStr">
        <is>
          <t>가상시립미술관</t>
        </is>
      </c>
      <c r="W7" s="4" t="inlineStr">
        <is>
          <t>F0002-N</t>
        </is>
      </c>
      <c r="X7" s="4" t="inlineStr">
        <is>
          <t>F0002-N|소방|</t>
        </is>
      </c>
      <c r="Y7" s="4" t="b">
        <v>1</v>
      </c>
      <c r="Z7" s="4" t="inlineStr"/>
      <c r="AA7" s="4" t="inlineStr">
        <is>
          <t>단독 공고, 취소 1건 제외</t>
        </is>
      </c>
      <c r="AB7" s="4" t="inlineStr"/>
      <c r="AC7" s="4" t="n">
        <v>0</v>
      </c>
      <c r="AD7" s="4" t="inlineStr"/>
    </row>
    <row r="8">
      <c r="A8" s="4" t="inlineStr">
        <is>
          <t>20260500011</t>
        </is>
      </c>
      <c r="B8" s="4" t="inlineStr">
        <is>
          <t>00</t>
        </is>
      </c>
      <c r="C8" s="4" t="inlineStr">
        <is>
          <t>20260500011-00</t>
        </is>
      </c>
      <c r="D8" s="4" t="inlineStr">
        <is>
          <t>가상시립미술관 노후시설 개보수공사(건축)</t>
        </is>
      </c>
      <c r="E8" s="4" t="inlineStr">
        <is>
          <t>일반</t>
        </is>
      </c>
      <c r="F8" s="4" t="inlineStr">
        <is>
          <t>N</t>
        </is>
      </c>
      <c r="G8" s="4" t="inlineStr">
        <is>
          <t>2026-05-02 10:00</t>
        </is>
      </c>
      <c r="H8" s="4" t="inlineStr"/>
      <c r="I8" s="4" t="inlineStr"/>
      <c r="J8" s="4" t="inlineStr">
        <is>
          <t>가상광역시</t>
        </is>
      </c>
      <c r="K8" s="4" t="inlineStr">
        <is>
          <t>가상광역시</t>
        </is>
      </c>
      <c r="L8" s="4" t="inlineStr">
        <is>
          <t>가상광역시 중구</t>
        </is>
      </c>
      <c r="M8" s="9" t="n">
        <v>4200000000</v>
      </c>
      <c r="N8" s="9" t="n">
        <v>4620000000</v>
      </c>
      <c r="O8" s="4" t="inlineStr">
        <is>
          <t>건축공사</t>
        </is>
      </c>
      <c r="P8" s="4" t="inlineStr"/>
      <c r="Q8" s="4" t="inlineStr">
        <is>
          <t>건축</t>
        </is>
      </c>
      <c r="R8" s="4" t="inlineStr">
        <is>
          <t>주공종명</t>
        </is>
      </c>
      <c r="S8" s="4" t="inlineStr">
        <is>
          <t>리모델링</t>
        </is>
      </c>
      <c r="T8" s="4" t="inlineStr">
        <is>
          <t>리모델링</t>
        </is>
      </c>
      <c r="U8" s="4" t="inlineStr">
        <is>
          <t>F0002</t>
        </is>
      </c>
      <c r="V8" s="4" t="inlineStr">
        <is>
          <t>가상시립미술관</t>
        </is>
      </c>
      <c r="W8" s="4" t="inlineStr">
        <is>
          <t>F0002-R</t>
        </is>
      </c>
      <c r="X8" s="4" t="inlineStr">
        <is>
          <t>F0002-R|건축|</t>
        </is>
      </c>
      <c r="Y8" s="4" t="b">
        <v>1</v>
      </c>
      <c r="Z8" s="4" t="inlineStr"/>
      <c r="AA8" s="4" t="inlineStr">
        <is>
          <t>단독 공고</t>
        </is>
      </c>
      <c r="AB8" s="4" t="inlineStr"/>
      <c r="AC8" s="4" t="n">
        <v>0</v>
      </c>
      <c r="AD8" s="4" t="inlineStr"/>
    </row>
    <row r="9">
      <c r="A9" s="4" t="inlineStr">
        <is>
          <t>20260500012</t>
        </is>
      </c>
      <c r="B9" s="4" t="inlineStr">
        <is>
          <t>00</t>
        </is>
      </c>
      <c r="C9" s="4" t="inlineStr">
        <is>
          <t>20260500012-00</t>
        </is>
      </c>
      <c r="D9" s="4" t="inlineStr">
        <is>
          <t>가상시립미술관 전기공사</t>
        </is>
      </c>
      <c r="E9" s="4" t="inlineStr">
        <is>
          <t>일반</t>
        </is>
      </c>
      <c r="F9" s="4" t="inlineStr">
        <is>
          <t>N</t>
        </is>
      </c>
      <c r="G9" s="4" t="inlineStr">
        <is>
          <t>2026-05-03 10:00</t>
        </is>
      </c>
      <c r="H9" s="4" t="inlineStr"/>
      <c r="I9" s="4" t="inlineStr"/>
      <c r="J9" s="4" t="inlineStr">
        <is>
          <t>가상광역시</t>
        </is>
      </c>
      <c r="K9" s="4" t="inlineStr">
        <is>
          <t>가상광역시</t>
        </is>
      </c>
      <c r="L9" s="4" t="inlineStr">
        <is>
          <t>가상광역시 중구</t>
        </is>
      </c>
      <c r="M9" s="9" t="n">
        <v>380000000</v>
      </c>
      <c r="N9" s="9" t="n">
        <v>418000000</v>
      </c>
      <c r="O9" s="4" t="inlineStr">
        <is>
          <t>전기공사</t>
        </is>
      </c>
      <c r="P9" s="4" t="inlineStr"/>
      <c r="Q9" s="4" t="inlineStr">
        <is>
          <t>전기</t>
        </is>
      </c>
      <c r="R9" s="4" t="inlineStr">
        <is>
          <t>주공종명</t>
        </is>
      </c>
      <c r="S9" s="4" t="inlineStr">
        <is>
          <t>리모델링</t>
        </is>
      </c>
      <c r="T9" s="4" t="inlineStr">
        <is>
          <t>미분류</t>
        </is>
      </c>
      <c r="U9" s="4" t="inlineStr">
        <is>
          <t>F0002</t>
        </is>
      </c>
      <c r="V9" s="4" t="inlineStr">
        <is>
          <t>가상시립미술관</t>
        </is>
      </c>
      <c r="W9" s="4" t="inlineStr">
        <is>
          <t>F0002-R</t>
        </is>
      </c>
      <c r="X9" s="4" t="inlineStr">
        <is>
          <t>F0002-R|전기|</t>
        </is>
      </c>
      <c r="Y9" s="4" t="b">
        <v>1</v>
      </c>
      <c r="Z9" s="4" t="inlineStr"/>
      <c r="AA9" s="4" t="inlineStr">
        <is>
          <t>단독 공고</t>
        </is>
      </c>
      <c r="AB9" s="4" t="inlineStr"/>
      <c r="AC9" s="4" t="n">
        <v>0</v>
      </c>
      <c r="AD9" s="4" t="inlineStr"/>
    </row>
  </sheetData>
  <autoFilter ref="A1:A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6" customWidth="1" min="1" max="1"/>
    <col width="10.4" customWidth="1" min="2" max="2"/>
    <col width="30" customWidth="1" min="3" max="3"/>
    <col width="10.4" customWidth="1" min="4" max="4"/>
    <col width="10" customWidth="1" min="5" max="5"/>
    <col width="10.4" customWidth="1" min="6" max="6"/>
    <col width="10.4" customWidth="1" min="7" max="7"/>
    <col width="55" customWidth="1" min="8" max="8"/>
    <col width="10.4" customWidth="1" min="9" max="9"/>
    <col width="10.4" customWidth="1" min="10" max="10"/>
    <col width="16.8" customWidth="1" min="11" max="11"/>
    <col width="16.8" customWidth="1" min="12" max="12"/>
    <col width="15.2" customWidth="1" min="13" max="13"/>
    <col width="18.4" customWidth="1" min="14" max="14"/>
    <col width="18.4" customWidth="1" min="15" max="15"/>
    <col width="16.8" customWidth="1" min="16" max="16"/>
    <col width="18.4" customWidth="1" min="17" max="17"/>
    <col width="15.2" customWidth="1" min="18" max="18"/>
    <col width="15.2" customWidth="1" min="19" max="19"/>
    <col width="23.2" customWidth="1" min="20" max="20"/>
    <col width="10" customWidth="1" min="21" max="21"/>
    <col width="50" customWidth="1" min="22" max="22"/>
    <col width="30" customWidth="1" min="23" max="23"/>
    <col width="40" customWidth="1" min="24" max="24"/>
  </cols>
  <sheetData>
    <row r="1">
      <c r="A1" s="3" t="inlineStr">
        <is>
          <t>프로젝트ID</t>
        </is>
      </c>
      <c r="B1" s="3" t="inlineStr">
        <is>
          <t>시설ID</t>
        </is>
      </c>
      <c r="C1" s="3" t="inlineStr">
        <is>
          <t>시설명</t>
        </is>
      </c>
      <c r="D1" s="3" t="inlineStr">
        <is>
          <t>사업유형</t>
        </is>
      </c>
      <c r="E1" s="3" t="inlineStr">
        <is>
          <t>공종</t>
        </is>
      </c>
      <c r="F1" s="3" t="inlineStr">
        <is>
          <t>공고번호</t>
        </is>
      </c>
      <c r="G1" s="3" t="inlineStr">
        <is>
          <t>공고차수</t>
        </is>
      </c>
      <c r="H1" s="3" t="inlineStr">
        <is>
          <t>공고명</t>
        </is>
      </c>
      <c r="I1" s="3" t="inlineStr">
        <is>
          <t>공고일시</t>
        </is>
      </c>
      <c r="J1" s="3" t="inlineStr">
        <is>
          <t>수요기관</t>
        </is>
      </c>
      <c r="K1" s="3" t="inlineStr">
        <is>
          <t>추정가격_API</t>
        </is>
      </c>
      <c r="L1" s="3" t="inlineStr">
        <is>
          <t>기초금액_API</t>
        </is>
      </c>
      <c r="M1" s="3" t="inlineStr">
        <is>
          <t>부가세(수식)</t>
        </is>
      </c>
      <c r="N1" s="3" t="inlineStr">
        <is>
          <t>도급자관급액_문서</t>
        </is>
      </c>
      <c r="O1" s="3" t="inlineStr">
        <is>
          <t>관급자관급액_문서</t>
        </is>
      </c>
      <c r="P1" s="3" t="inlineStr">
        <is>
          <t>총공사비(수식)</t>
        </is>
      </c>
      <c r="Q1" s="3" t="inlineStr">
        <is>
          <t>공사기간_일_문서</t>
        </is>
      </c>
      <c r="R1" s="3" t="inlineStr">
        <is>
          <t>추정가격_문서</t>
        </is>
      </c>
      <c r="S1" s="3" t="inlineStr">
        <is>
          <t>기초금액_문서</t>
        </is>
      </c>
      <c r="T1" s="3" t="inlineStr">
        <is>
          <t>추정가격_차이율(수식)</t>
        </is>
      </c>
      <c r="U1" s="3" t="inlineStr">
        <is>
          <t>신뢰도</t>
        </is>
      </c>
      <c r="V1" s="3" t="inlineStr">
        <is>
          <t>근거문구</t>
        </is>
      </c>
      <c r="W1" s="3" t="inlineStr">
        <is>
          <t>출처파일</t>
        </is>
      </c>
      <c r="X1" s="3" t="inlineStr">
        <is>
          <t>상세URL</t>
        </is>
      </c>
    </row>
    <row r="2">
      <c r="A2" s="4" t="inlineStr">
        <is>
          <t>F0001-N</t>
        </is>
      </c>
      <c r="B2" s="4" t="inlineStr">
        <is>
          <t>F0001</t>
        </is>
      </c>
      <c r="C2" s="4" t="inlineStr">
        <is>
          <t>예시군 문화예술회관</t>
        </is>
      </c>
      <c r="D2" s="4" t="inlineStr">
        <is>
          <t>신축</t>
        </is>
      </c>
      <c r="E2" s="4" t="inlineStr">
        <is>
          <t>건축</t>
        </is>
      </c>
      <c r="F2" s="4" t="inlineStr">
        <is>
          <t>20250100008</t>
        </is>
      </c>
      <c r="G2" s="4" t="inlineStr">
        <is>
          <t>00</t>
        </is>
      </c>
      <c r="H2" s="4" t="inlineStr">
        <is>
          <t>예시군 문화예술회관 건립공사</t>
        </is>
      </c>
      <c r="I2" s="4" t="inlineStr">
        <is>
          <t>2025-02-10 10:00</t>
        </is>
      </c>
      <c r="J2" s="4" t="inlineStr">
        <is>
          <t>예시군</t>
        </is>
      </c>
      <c r="K2" s="9" t="n">
        <v>32000000000</v>
      </c>
      <c r="L2" s="9" t="n">
        <v>35200000000</v>
      </c>
      <c r="M2" s="10">
        <f>IF(AND(ISNUMBER(L2),ISNUMBER(K2)),L2-K2,IF(AND(ISNUMBER(S2),ISNUMBER(R2)),S2-R2,""))</f>
        <v/>
      </c>
      <c r="N2" s="9" t="n"/>
      <c r="O2" s="9" t="n">
        <v>2100000000</v>
      </c>
      <c r="P2" s="10">
        <f>IF(ISNUMBER(L2),L2,IF(ISNUMBER(K2),K2*1.1,IF(ISNUMBER(S2),S2,IF(ISNUMBER(R2),R2*1.1,0))))+N(N2)+N(O2)</f>
        <v/>
      </c>
      <c r="Q2" s="4" t="n">
        <v>1080</v>
      </c>
      <c r="R2" s="9" t="n">
        <v>32000000000</v>
      </c>
      <c r="S2" s="9" t="n">
        <v>35200000000</v>
      </c>
      <c r="T2" s="11">
        <f>IF(AND(ISNUMBER(K2),ISNUMBER(R2),K2&lt;&gt;0),(R2-K2)/K2,"")</f>
        <v/>
      </c>
      <c r="U2" s="4" t="inlineStr">
        <is>
          <t>high</t>
        </is>
      </c>
      <c r="V2" s="4" t="inlineStr">
        <is>
          <t>{"연면적_m2": "연면적 15,200㎡"}</t>
        </is>
      </c>
      <c r="W2" s="4" t="inlineStr"/>
      <c r="X2" s="4" t="inlineStr"/>
    </row>
    <row r="3">
      <c r="A3" s="4" t="inlineStr">
        <is>
          <t>F0001-N</t>
        </is>
      </c>
      <c r="B3" s="4" t="inlineStr">
        <is>
          <t>F0001</t>
        </is>
      </c>
      <c r="C3" s="4" t="inlineStr">
        <is>
          <t>예시군 문화예술회관</t>
        </is>
      </c>
      <c r="D3" s="4" t="inlineStr">
        <is>
          <t>신축</t>
        </is>
      </c>
      <c r="E3" s="4" t="inlineStr">
        <is>
          <t>전기</t>
        </is>
      </c>
      <c r="F3" s="4" t="inlineStr">
        <is>
          <t>20250100009</t>
        </is>
      </c>
      <c r="G3" s="4" t="inlineStr">
        <is>
          <t>00</t>
        </is>
      </c>
      <c r="H3" s="4" t="inlineStr">
        <is>
          <t>예시군 문화예술회관 건립 전기공사</t>
        </is>
      </c>
      <c r="I3" s="4" t="inlineStr">
        <is>
          <t>2025-02-10 11:00</t>
        </is>
      </c>
      <c r="J3" s="4" t="inlineStr">
        <is>
          <t>예시군</t>
        </is>
      </c>
      <c r="K3" s="9" t="n">
        <v>2600000000</v>
      </c>
      <c r="L3" s="9" t="n">
        <v>2860000000</v>
      </c>
      <c r="M3" s="10">
        <f>IF(AND(ISNUMBER(L3),ISNUMBER(K3)),L3-K3,IF(AND(ISNUMBER(S3),ISNUMBER(R3)),S3-R3,""))</f>
        <v/>
      </c>
      <c r="N3" s="9" t="n"/>
      <c r="O3" s="9" t="n"/>
      <c r="P3" s="10">
        <f>IF(ISNUMBER(L3),L3,IF(ISNUMBER(K3),K3*1.1,IF(ISNUMBER(S3),S3,IF(ISNUMBER(R3),R3*1.1,0))))+N(N3)+N(O3)</f>
        <v/>
      </c>
      <c r="Q3" s="4" t="n"/>
      <c r="R3" s="9" t="n"/>
      <c r="S3" s="9" t="n"/>
      <c r="T3" s="11">
        <f>IF(AND(ISNUMBER(K3),ISNUMBER(R3),K3&lt;&gt;0),(R3-K3)/K3,"")</f>
        <v/>
      </c>
      <c r="U3" s="4" t="n"/>
      <c r="V3" s="4" t="inlineStr"/>
      <c r="W3" s="4" t="inlineStr"/>
      <c r="X3" s="4" t="inlineStr"/>
    </row>
    <row r="4">
      <c r="A4" s="4" t="inlineStr">
        <is>
          <t>F0002-N</t>
        </is>
      </c>
      <c r="B4" s="4" t="inlineStr">
        <is>
          <t>F0002</t>
        </is>
      </c>
      <c r="C4" s="4" t="inlineStr">
        <is>
          <t>가상시립미술관</t>
        </is>
      </c>
      <c r="D4" s="4" t="inlineStr">
        <is>
          <t>신축</t>
        </is>
      </c>
      <c r="E4" s="4" t="inlineStr">
        <is>
          <t>전기</t>
        </is>
      </c>
      <c r="F4" s="4" t="inlineStr">
        <is>
          <t>20240100003</t>
        </is>
      </c>
      <c r="G4" s="4" t="inlineStr">
        <is>
          <t>00</t>
        </is>
      </c>
      <c r="H4" s="4" t="inlineStr">
        <is>
          <t>가상시립미술관 건립 전기공사</t>
        </is>
      </c>
      <c r="I4" s="4" t="inlineStr">
        <is>
          <t>2024-03-06 10:00</t>
        </is>
      </c>
      <c r="J4" s="4" t="inlineStr">
        <is>
          <t>가상광역시</t>
        </is>
      </c>
      <c r="K4" s="9" t="n">
        <v>1450000000</v>
      </c>
      <c r="L4" s="9" t="n">
        <v>1595000000</v>
      </c>
      <c r="M4" s="10">
        <f>IF(AND(ISNUMBER(L4),ISNUMBER(K4)),L4-K4,IF(AND(ISNUMBER(S4),ISNUMBER(R4)),S4-R4,""))</f>
        <v/>
      </c>
      <c r="N4" s="9" t="n"/>
      <c r="O4" s="9" t="n"/>
      <c r="P4" s="10">
        <f>IF(ISNUMBER(L4),L4,IF(ISNUMBER(K4),K4*1.1,IF(ISNUMBER(S4),S4,IF(ISNUMBER(R4),R4*1.1,0))))+N(N4)+N(O4)</f>
        <v/>
      </c>
      <c r="Q4" s="4" t="n"/>
      <c r="R4" s="9" t="n"/>
      <c r="S4" s="9" t="n"/>
      <c r="T4" s="11">
        <f>IF(AND(ISNUMBER(K4),ISNUMBER(R4),K4&lt;&gt;0),(R4-K4)/K4,"")</f>
        <v/>
      </c>
      <c r="U4" s="4" t="n"/>
      <c r="V4" s="4" t="inlineStr"/>
      <c r="W4" s="4" t="inlineStr"/>
      <c r="X4" s="4" t="inlineStr"/>
    </row>
    <row r="5">
      <c r="A5" s="4" t="inlineStr">
        <is>
          <t>F0002-N</t>
        </is>
      </c>
      <c r="B5" s="4" t="inlineStr">
        <is>
          <t>F0002</t>
        </is>
      </c>
      <c r="C5" s="4" t="inlineStr">
        <is>
          <t>가상시립미술관</t>
        </is>
      </c>
      <c r="D5" s="4" t="inlineStr">
        <is>
          <t>신축</t>
        </is>
      </c>
      <c r="E5" s="4" t="inlineStr">
        <is>
          <t>정보통신</t>
        </is>
      </c>
      <c r="F5" s="4" t="inlineStr">
        <is>
          <t>20240100004</t>
        </is>
      </c>
      <c r="G5" s="4" t="inlineStr">
        <is>
          <t>00</t>
        </is>
      </c>
      <c r="H5" s="4" t="inlineStr">
        <is>
          <t>가상시립미술관 건립 정보통신공사</t>
        </is>
      </c>
      <c r="I5" s="4" t="inlineStr">
        <is>
          <t>2024-03-06 11:00</t>
        </is>
      </c>
      <c r="J5" s="4" t="inlineStr">
        <is>
          <t>가상광역시</t>
        </is>
      </c>
      <c r="K5" s="9" t="n">
        <v>620000000</v>
      </c>
      <c r="L5" s="9" t="n">
        <v>682000000</v>
      </c>
      <c r="M5" s="10">
        <f>IF(AND(ISNUMBER(L5),ISNUMBER(K5)),L5-K5,IF(AND(ISNUMBER(S5),ISNUMBER(R5)),S5-R5,""))</f>
        <v/>
      </c>
      <c r="N5" s="9" t="n"/>
      <c r="O5" s="9" t="n"/>
      <c r="P5" s="10">
        <f>IF(ISNUMBER(L5),L5,IF(ISNUMBER(K5),K5*1.1,IF(ISNUMBER(S5),S5,IF(ISNUMBER(R5),R5*1.1,0))))+N(N5)+N(O5)</f>
        <v/>
      </c>
      <c r="Q5" s="4" t="n"/>
      <c r="R5" s="9" t="n"/>
      <c r="S5" s="9" t="n"/>
      <c r="T5" s="11">
        <f>IF(AND(ISNUMBER(K5),ISNUMBER(R5),K5&lt;&gt;0),(R5-K5)/K5,"")</f>
        <v/>
      </c>
      <c r="U5" s="4" t="n"/>
      <c r="V5" s="4" t="inlineStr"/>
      <c r="W5" s="4" t="inlineStr"/>
      <c r="X5" s="4" t="inlineStr"/>
    </row>
    <row r="6">
      <c r="A6" s="4" t="inlineStr">
        <is>
          <t>F0002-N</t>
        </is>
      </c>
      <c r="B6" s="4" t="inlineStr">
        <is>
          <t>F0002</t>
        </is>
      </c>
      <c r="C6" s="4" t="inlineStr">
        <is>
          <t>가상시립미술관</t>
        </is>
      </c>
      <c r="D6" s="4" t="inlineStr">
        <is>
          <t>신축</t>
        </is>
      </c>
      <c r="E6" s="4" t="inlineStr">
        <is>
          <t>건축</t>
        </is>
      </c>
      <c r="F6" s="4" t="inlineStr">
        <is>
          <t>20240200002</t>
        </is>
      </c>
      <c r="G6" s="4" t="inlineStr">
        <is>
          <t>00</t>
        </is>
      </c>
      <c r="H6" s="4" t="inlineStr">
        <is>
          <t>가상시립미술관 건립공사(건축) 재공고</t>
        </is>
      </c>
      <c r="I6" s="4" t="inlineStr">
        <is>
          <t>2024-05-20 10:00</t>
        </is>
      </c>
      <c r="J6" s="4" t="inlineStr">
        <is>
          <t>가상광역시</t>
        </is>
      </c>
      <c r="K6" s="9" t="n">
        <v>19100000000</v>
      </c>
      <c r="L6" s="9" t="n">
        <v>21010000000</v>
      </c>
      <c r="M6" s="10">
        <f>IF(AND(ISNUMBER(L6),ISNUMBER(K6)),L6-K6,IF(AND(ISNUMBER(S6),ISNUMBER(R6)),S6-R6,""))</f>
        <v/>
      </c>
      <c r="N6" s="9" t="n">
        <v>850000000</v>
      </c>
      <c r="O6" s="9" t="n">
        <v>1200000000</v>
      </c>
      <c r="P6" s="10">
        <f>IF(ISNUMBER(L6),L6,IF(ISNUMBER(K6),K6*1.1,IF(ISNUMBER(S6),S6,IF(ISNUMBER(R6),R6*1.1,0))))+N(N6)+N(O6)</f>
        <v/>
      </c>
      <c r="Q6" s="4" t="n">
        <v>900</v>
      </c>
      <c r="R6" s="9" t="n">
        <v>19100000000</v>
      </c>
      <c r="S6" s="9" t="n">
        <v>21010000000</v>
      </c>
      <c r="T6" s="11">
        <f>IF(AND(ISNUMBER(K6),ISNUMBER(R6),K6&lt;&gt;0),(R6-K6)/K6,"")</f>
        <v/>
      </c>
      <c r="U6" s="4" t="inlineStr">
        <is>
          <t>high</t>
        </is>
      </c>
      <c r="V6" s="4" t="inlineStr">
        <is>
          <t>{"연면적_m2": "연면적 9,850㎡", "추정가격_원": "추정가격 19,100,000,000원"}</t>
        </is>
      </c>
      <c r="W6" s="4" t="inlineStr"/>
      <c r="X6" s="4" t="inlineStr">
        <is>
          <t>https://www.g2b.go.kr/x/2</t>
        </is>
      </c>
    </row>
    <row r="7">
      <c r="A7" s="4" t="inlineStr">
        <is>
          <t>F0002-N</t>
        </is>
      </c>
      <c r="B7" s="4" t="inlineStr">
        <is>
          <t>F0002</t>
        </is>
      </c>
      <c r="C7" s="4" t="inlineStr">
        <is>
          <t>가상시립미술관</t>
        </is>
      </c>
      <c r="D7" s="4" t="inlineStr">
        <is>
          <t>신축</t>
        </is>
      </c>
      <c r="E7" s="4" t="inlineStr">
        <is>
          <t>소방</t>
        </is>
      </c>
      <c r="F7" s="4" t="inlineStr">
        <is>
          <t>20240300006</t>
        </is>
      </c>
      <c r="G7" s="4" t="inlineStr">
        <is>
          <t>00</t>
        </is>
      </c>
      <c r="H7" s="4" t="inlineStr">
        <is>
          <t>가상시립미술관 건립 소방시설공사(재공고)</t>
        </is>
      </c>
      <c r="I7" s="4" t="inlineStr">
        <is>
          <t>2024-04-15 10:00</t>
        </is>
      </c>
      <c r="J7" s="4" t="inlineStr">
        <is>
          <t>가상광역시</t>
        </is>
      </c>
      <c r="K7" s="9" t="n">
        <v>530000000</v>
      </c>
      <c r="L7" s="9" t="n">
        <v>583000000</v>
      </c>
      <c r="M7" s="10">
        <f>IF(AND(ISNUMBER(L7),ISNUMBER(K7)),L7-K7,IF(AND(ISNUMBER(S7),ISNUMBER(R7)),S7-R7,""))</f>
        <v/>
      </c>
      <c r="N7" s="9" t="n"/>
      <c r="O7" s="9" t="n"/>
      <c r="P7" s="10">
        <f>IF(ISNUMBER(L7),L7,IF(ISNUMBER(K7),K7*1.1,IF(ISNUMBER(S7),S7,IF(ISNUMBER(R7),R7*1.1,0))))+N(N7)+N(O7)</f>
        <v/>
      </c>
      <c r="Q7" s="4" t="n"/>
      <c r="R7" s="9" t="n"/>
      <c r="S7" s="9" t="n"/>
      <c r="T7" s="11">
        <f>IF(AND(ISNUMBER(K7),ISNUMBER(R7),K7&lt;&gt;0),(R7-K7)/K7,"")</f>
        <v/>
      </c>
      <c r="U7" s="4" t="n"/>
      <c r="V7" s="4" t="inlineStr"/>
      <c r="W7" s="4" t="inlineStr"/>
      <c r="X7" s="4" t="inlineStr"/>
    </row>
    <row r="8">
      <c r="A8" s="4" t="inlineStr">
        <is>
          <t>F0002-R</t>
        </is>
      </c>
      <c r="B8" s="4" t="inlineStr">
        <is>
          <t>F0002</t>
        </is>
      </c>
      <c r="C8" s="4" t="inlineStr">
        <is>
          <t>가상시립미술관</t>
        </is>
      </c>
      <c r="D8" s="4" t="inlineStr">
        <is>
          <t>리모델링</t>
        </is>
      </c>
      <c r="E8" s="4" t="inlineStr">
        <is>
          <t>건축</t>
        </is>
      </c>
      <c r="F8" s="4" t="inlineStr">
        <is>
          <t>20260500011</t>
        </is>
      </c>
      <c r="G8" s="4" t="inlineStr">
        <is>
          <t>00</t>
        </is>
      </c>
      <c r="H8" s="4" t="inlineStr">
        <is>
          <t>가상시립미술관 노후시설 개보수공사(건축)</t>
        </is>
      </c>
      <c r="I8" s="4" t="inlineStr">
        <is>
          <t>2026-05-02 10:00</t>
        </is>
      </c>
      <c r="J8" s="4" t="inlineStr">
        <is>
          <t>가상광역시</t>
        </is>
      </c>
      <c r="K8" s="9" t="n">
        <v>4200000000</v>
      </c>
      <c r="L8" s="9" t="n">
        <v>4620000000</v>
      </c>
      <c r="M8" s="10">
        <f>IF(AND(ISNUMBER(L8),ISNUMBER(K8)),L8-K8,IF(AND(ISNUMBER(S8),ISNUMBER(R8)),S8-R8,""))</f>
        <v/>
      </c>
      <c r="N8" s="9" t="n"/>
      <c r="O8" s="9" t="n">
        <v>300000000</v>
      </c>
      <c r="P8" s="10">
        <f>IF(ISNUMBER(L8),L8,IF(ISNUMBER(K8),K8*1.1,IF(ISNUMBER(S8),S8,IF(ISNUMBER(R8),R8*1.1,0))))+N(N8)+N(O8)</f>
        <v/>
      </c>
      <c r="Q8" s="4" t="n">
        <v>420</v>
      </c>
      <c r="R8" s="9" t="n">
        <v>4200000000</v>
      </c>
      <c r="S8" s="9" t="n">
        <v>4620000000</v>
      </c>
      <c r="T8" s="11">
        <f>IF(AND(ISNUMBER(K8),ISNUMBER(R8),K8&lt;&gt;0),(R8-K8)/K8,"")</f>
        <v/>
      </c>
      <c r="U8" s="4" t="inlineStr">
        <is>
          <t>medium</t>
        </is>
      </c>
      <c r="V8" s="4" t="inlineStr">
        <is>
          <t>{"연면적_m2": "리모델링 대상면적 6,100㎡"}</t>
        </is>
      </c>
      <c r="W8" s="4" t="inlineStr"/>
      <c r="X8" s="4" t="inlineStr"/>
    </row>
    <row r="9">
      <c r="A9" s="4" t="inlineStr">
        <is>
          <t>F0002-R</t>
        </is>
      </c>
      <c r="B9" s="4" t="inlineStr">
        <is>
          <t>F0002</t>
        </is>
      </c>
      <c r="C9" s="4" t="inlineStr">
        <is>
          <t>가상시립미술관</t>
        </is>
      </c>
      <c r="D9" s="4" t="inlineStr">
        <is>
          <t>리모델링</t>
        </is>
      </c>
      <c r="E9" s="4" t="inlineStr">
        <is>
          <t>전기</t>
        </is>
      </c>
      <c r="F9" s="4" t="inlineStr">
        <is>
          <t>20260500012</t>
        </is>
      </c>
      <c r="G9" s="4" t="inlineStr">
        <is>
          <t>00</t>
        </is>
      </c>
      <c r="H9" s="4" t="inlineStr">
        <is>
          <t>가상시립미술관 전기공사</t>
        </is>
      </c>
      <c r="I9" s="4" t="inlineStr">
        <is>
          <t>2026-05-03 10:00</t>
        </is>
      </c>
      <c r="J9" s="4" t="inlineStr">
        <is>
          <t>가상광역시</t>
        </is>
      </c>
      <c r="K9" s="9" t="n">
        <v>380000000</v>
      </c>
      <c r="L9" s="9" t="n">
        <v>418000000</v>
      </c>
      <c r="M9" s="10">
        <f>IF(AND(ISNUMBER(L9),ISNUMBER(K9)),L9-K9,IF(AND(ISNUMBER(S9),ISNUMBER(R9)),S9-R9,""))</f>
        <v/>
      </c>
      <c r="N9" s="9" t="n"/>
      <c r="O9" s="9" t="n"/>
      <c r="P9" s="10">
        <f>IF(ISNUMBER(L9),L9,IF(ISNUMBER(K9),K9*1.1,IF(ISNUMBER(S9),S9,IF(ISNUMBER(R9),R9*1.1,0))))+N(N9)+N(O9)</f>
        <v/>
      </c>
      <c r="Q9" s="4" t="n"/>
      <c r="R9" s="9" t="n"/>
      <c r="S9" s="9" t="n"/>
      <c r="T9" s="11">
        <f>IF(AND(ISNUMBER(K9),ISNUMBER(R9),K9&lt;&gt;0),(R9-K9)/K9,"")</f>
        <v/>
      </c>
      <c r="U9" s="4" t="n"/>
      <c r="V9" s="4" t="inlineStr"/>
      <c r="W9" s="4" t="inlineStr"/>
      <c r="X9" s="4" t="inlineStr"/>
    </row>
  </sheetData>
  <autoFilter ref="A1:X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6" customWidth="1" min="1" max="1"/>
    <col width="10.4" customWidth="1" min="2" max="2"/>
    <col width="30" customWidth="1" min="3" max="3"/>
    <col width="10.4" customWidth="1" min="4" max="4"/>
    <col width="13.6" customWidth="1" min="5" max="5"/>
    <col width="13.6" customWidth="1" min="6" max="6"/>
    <col width="10.4" customWidth="1" min="7" max="7"/>
    <col width="13.6" customWidth="1" min="8" max="8"/>
    <col width="10.4" customWidth="1" min="9" max="9"/>
    <col width="10.4" customWidth="1" min="10" max="10"/>
    <col width="10" customWidth="1" min="11" max="11"/>
    <col width="10.4" customWidth="1" min="12" max="12"/>
    <col width="13.6" customWidth="1" min="13" max="13"/>
    <col width="13.6" customWidth="1" min="14" max="14"/>
    <col width="16.8" customWidth="1" min="15" max="15"/>
    <col width="13.6" customWidth="1" min="16" max="16"/>
    <col width="13.6" customWidth="1" min="17" max="17"/>
    <col width="16.8" customWidth="1" min="18" max="18"/>
    <col width="13.6" customWidth="1" min="19" max="19"/>
    <col width="13.6" customWidth="1" min="20" max="20"/>
    <col width="20" customWidth="1" min="21" max="21"/>
    <col width="21.6" customWidth="1" min="22" max="22"/>
    <col width="29.6" customWidth="1" min="23" max="23"/>
    <col width="26.4" customWidth="1" min="24" max="24"/>
    <col width="28" customWidth="1" min="25" max="25"/>
    <col width="15.2" customWidth="1" min="26" max="26"/>
    <col width="10" customWidth="1" min="27" max="27"/>
  </cols>
  <sheetData>
    <row r="1">
      <c r="A1" s="3" t="inlineStr">
        <is>
          <t>프로젝트ID</t>
        </is>
      </c>
      <c r="B1" s="3" t="inlineStr">
        <is>
          <t>시설ID</t>
        </is>
      </c>
      <c r="C1" s="3" t="inlineStr">
        <is>
          <t>시설명</t>
        </is>
      </c>
      <c r="D1" s="3" t="inlineStr">
        <is>
          <t>사업유형</t>
        </is>
      </c>
      <c r="E1" s="3" t="inlineStr">
        <is>
          <t>표2_대분류</t>
        </is>
      </c>
      <c r="F1" s="3" t="inlineStr">
        <is>
          <t>표2_중분류</t>
        </is>
      </c>
      <c r="G1" s="3" t="inlineStr">
        <is>
          <t>수요기관</t>
        </is>
      </c>
      <c r="H1" s="3" t="inlineStr">
        <is>
          <t>연면적_m2</t>
        </is>
      </c>
      <c r="I1" s="3" t="inlineStr">
        <is>
          <t>지상층수</t>
        </is>
      </c>
      <c r="J1" s="3" t="inlineStr">
        <is>
          <t>지하층수</t>
        </is>
      </c>
      <c r="K1" s="3" t="inlineStr">
        <is>
          <t>구조</t>
        </is>
      </c>
      <c r="L1" s="3" t="inlineStr">
        <is>
          <t>공고연도</t>
        </is>
      </c>
      <c r="M1" s="3" t="inlineStr">
        <is>
          <t>건축(수식)</t>
        </is>
      </c>
      <c r="N1" s="3" t="inlineStr">
        <is>
          <t>전기(수식)</t>
        </is>
      </c>
      <c r="O1" s="3" t="inlineStr">
        <is>
          <t>정보통신(수식)</t>
        </is>
      </c>
      <c r="P1" s="3" t="inlineStr">
        <is>
          <t>소방(수식)</t>
        </is>
      </c>
      <c r="Q1" s="3" t="inlineStr">
        <is>
          <t>조경(수식)</t>
        </is>
      </c>
      <c r="R1" s="3" t="inlineStr">
        <is>
          <t>기계설비(수식)</t>
        </is>
      </c>
      <c r="S1" s="3" t="inlineStr">
        <is>
          <t>토목(수식)</t>
        </is>
      </c>
      <c r="T1" s="3" t="inlineStr">
        <is>
          <t>기타(수식)</t>
        </is>
      </c>
      <c r="U1" s="3" t="inlineStr">
        <is>
          <t>총공사비합계(수식)</t>
        </is>
      </c>
      <c r="V1" s="3" t="inlineStr">
        <is>
          <t>㎡당공사비_원(수식)</t>
        </is>
      </c>
      <c r="W1" s="3" t="inlineStr">
        <is>
          <t>건설공사비지수_보정계수(입력)</t>
        </is>
      </c>
      <c r="X1" s="3" t="inlineStr">
        <is>
          <t>보정_㎡당공사비_원(수식)</t>
        </is>
      </c>
      <c r="Y1" s="3" t="inlineStr">
        <is>
          <t>공종누락경고(수식)</t>
        </is>
      </c>
      <c r="Z1" s="3" t="inlineStr">
        <is>
          <t>공고건수_최신</t>
        </is>
      </c>
      <c r="AA1" s="3" t="inlineStr">
        <is>
          <t>메모</t>
        </is>
      </c>
    </row>
    <row r="2">
      <c r="A2" s="4" t="inlineStr">
        <is>
          <t>F0001-N</t>
        </is>
      </c>
      <c r="B2" s="4" t="inlineStr">
        <is>
          <t>F0001</t>
        </is>
      </c>
      <c r="C2" s="4" t="inlineStr">
        <is>
          <t>예시군 문화예술회관</t>
        </is>
      </c>
      <c r="D2" s="4" t="inlineStr">
        <is>
          <t>신축</t>
        </is>
      </c>
      <c r="E2" s="4" t="inlineStr">
        <is>
          <t>문화 및 집회시설</t>
        </is>
      </c>
      <c r="F2" s="4" t="inlineStr">
        <is>
          <t>공연장</t>
        </is>
      </c>
      <c r="G2" s="4" t="inlineStr">
        <is>
          <t>예시군</t>
        </is>
      </c>
      <c r="H2" s="10">
        <f>IFERROR(INDEX('01_시설마스터'!$V:$V,MATCH($A2,'01_시설마스터'!$A:$A,0)),"")</f>
        <v/>
      </c>
      <c r="I2" s="4" t="n">
        <v>3</v>
      </c>
      <c r="J2" s="4" t="n">
        <v>1</v>
      </c>
      <c r="K2" s="4" t="inlineStr">
        <is>
          <t>철골철근콘크리트조</t>
        </is>
      </c>
      <c r="L2" s="4" t="inlineStr">
        <is>
          <t>2025</t>
        </is>
      </c>
      <c r="M2" s="10">
        <f>SUMIFS('04_공사비DB_공종별'!$P:$P,'04_공사비DB_공종별'!$A:$A,$A2,'04_공사비DB_공종별'!$E:$E,"건축")</f>
        <v/>
      </c>
      <c r="N2" s="10">
        <f>SUMIFS('04_공사비DB_공종별'!$P:$P,'04_공사비DB_공종별'!$A:$A,$A2,'04_공사비DB_공종별'!$E:$E,"전기")</f>
        <v/>
      </c>
      <c r="O2" s="10">
        <f>SUMIFS('04_공사비DB_공종별'!$P:$P,'04_공사비DB_공종별'!$A:$A,$A2,'04_공사비DB_공종별'!$E:$E,"정보통신")</f>
        <v/>
      </c>
      <c r="P2" s="10">
        <f>SUMIFS('04_공사비DB_공종별'!$P:$P,'04_공사비DB_공종별'!$A:$A,$A2,'04_공사비DB_공종별'!$E:$E,"소방")</f>
        <v/>
      </c>
      <c r="Q2" s="10">
        <f>SUMIFS('04_공사비DB_공종별'!$P:$P,'04_공사비DB_공종별'!$A:$A,$A2,'04_공사비DB_공종별'!$E:$E,"조경")</f>
        <v/>
      </c>
      <c r="R2" s="10">
        <f>SUMIFS('04_공사비DB_공종별'!$P:$P,'04_공사비DB_공종별'!$A:$A,$A2,'04_공사비DB_공종별'!$E:$E,"기계설비")</f>
        <v/>
      </c>
      <c r="S2" s="10">
        <f>SUMIFS('04_공사비DB_공종별'!$P:$P,'04_공사비DB_공종별'!$A:$A,$A2,'04_공사비DB_공종별'!$E:$E,"토목")</f>
        <v/>
      </c>
      <c r="T2" s="10">
        <f>SUMIFS('04_공사비DB_공종별'!$P:$P,'04_공사비DB_공종별'!$A:$A,$A2,'04_공사비DB_공종별'!$E:$E,"기타")</f>
        <v/>
      </c>
      <c r="U2" s="10">
        <f>SUM(M2:T2)</f>
        <v/>
      </c>
      <c r="V2" s="10">
        <f>IF(AND(ISNUMBER(H2),H2&gt;0),U2/H2,"")</f>
        <v/>
      </c>
      <c r="W2" s="8" t="n">
        <v>1</v>
      </c>
      <c r="X2" s="10">
        <f>IF(ISNUMBER(V2),V2*W2,"")</f>
        <v/>
      </c>
      <c r="Y2" s="2">
        <f>TRIM(IF(TRIM(IF(COUNTIFS('04_공사비DB_공종별'!$A:$A,$A2,'04_공사비DB_공종별'!$E:$E,"건축")=0,"건축 ","")&amp;IF(COUNTIFS('04_공사비DB_공종별'!$A:$A,$A2,'04_공사비DB_공종별'!$E:$E,"전기")=0,"전기 ","")&amp;IF(COUNTIFS('04_공사비DB_공종별'!$A:$A,$A2,'04_공사비DB_공종별'!$E:$E,"정보통신")=0,"정보통신 ","")&amp;IF(COUNTIFS('04_공사비DB_공종별'!$A:$A,$A2,'04_공사비DB_공종별'!$E:$E,"소방")=0,"소방 ",""))="","",TRIM(IF(COUNTIFS('04_공사비DB_공종별'!$A:$A,$A2,'04_공사비DB_공종별'!$E:$E,"건축")=0,"건축 ","")&amp;IF(COUNTIFS('04_공사비DB_공종별'!$A:$A,$A2,'04_공사비DB_공종별'!$E:$E,"전기")=0,"전기 ","")&amp;IF(COUNTIFS('04_공사비DB_공종별'!$A:$A,$A2,'04_공사비DB_공종별'!$E:$E,"정보통신")=0,"정보통신 ","")&amp;IF(COUNTIFS('04_공사비DB_공종별'!$A:$A,$A2,'04_공사비DB_공종별'!$E:$E,"소방")=0,"소방 ",""))&amp;"누락 ")&amp;IF(TRIM(IF(AND(COUNTIFS('04_공사비DB_공종별'!$A:$A,$A2,'04_공사비DB_공종별'!$E:$E,"건축")&gt;0,M2=0),"건축 ","")&amp;IF(AND(COUNTIFS('04_공사비DB_공종별'!$A:$A,$A2,'04_공사비DB_공종별'!$E:$E,"전기")&gt;0,N2=0),"전기 ","")&amp;IF(AND(COUNTIFS('04_공사비DB_공종별'!$A:$A,$A2,'04_공사비DB_공종별'!$E:$E,"정보통신")&gt;0,O2=0),"정보통신 ","")&amp;IF(AND(COUNTIFS('04_공사비DB_공종별'!$A:$A,$A2,'04_공사비DB_공종별'!$E:$E,"소방")&gt;0,P2=0),"소방 ",""))="","",TRIM(IF(AND(COUNTIFS('04_공사비DB_공종별'!$A:$A,$A2,'04_공사비DB_공종별'!$E:$E,"건축")&gt;0,M2=0),"건축 ","")&amp;IF(AND(COUNTIFS('04_공사비DB_공종별'!$A:$A,$A2,'04_공사비DB_공종별'!$E:$E,"전기")&gt;0,N2=0),"전기 ","")&amp;IF(AND(COUNTIFS('04_공사비DB_공종별'!$A:$A,$A2,'04_공사비DB_공종별'!$E:$E,"정보통신")&gt;0,O2=0),"정보통신 ","")&amp;IF(AND(COUNTIFS('04_공사비DB_공종별'!$A:$A,$A2,'04_공사비DB_공종별'!$E:$E,"소방")&gt;0,P2=0),"소방 ",""))&amp;"금액없음"))</f>
        <v/>
      </c>
      <c r="Z2" s="4" t="n">
        <v>2</v>
      </c>
      <c r="AA2" s="8" t="inlineStr"/>
    </row>
    <row r="3">
      <c r="A3" s="4" t="inlineStr">
        <is>
          <t>F0002-N</t>
        </is>
      </c>
      <c r="B3" s="4" t="inlineStr">
        <is>
          <t>F0002</t>
        </is>
      </c>
      <c r="C3" s="4" t="inlineStr">
        <is>
          <t>가상시립미술관</t>
        </is>
      </c>
      <c r="D3" s="4" t="inlineStr">
        <is>
          <t>신축</t>
        </is>
      </c>
      <c r="E3" s="4" t="inlineStr">
        <is>
          <t>문화 및 집회시설</t>
        </is>
      </c>
      <c r="F3" s="4" t="inlineStr">
        <is>
          <t>미술관</t>
        </is>
      </c>
      <c r="G3" s="4" t="inlineStr">
        <is>
          <t>가상광역시</t>
        </is>
      </c>
      <c r="H3" s="10">
        <f>IFERROR(INDEX('01_시설마스터'!$V:$V,MATCH($A3,'01_시설마스터'!$A:$A,0)),"")</f>
        <v/>
      </c>
      <c r="I3" s="4" t="n">
        <v>4</v>
      </c>
      <c r="J3" s="4" t="n">
        <v>2</v>
      </c>
      <c r="K3" s="4" t="inlineStr">
        <is>
          <t>철근콘크리트조</t>
        </is>
      </c>
      <c r="L3" s="4" t="inlineStr">
        <is>
          <t>2024</t>
        </is>
      </c>
      <c r="M3" s="10">
        <f>SUMIFS('04_공사비DB_공종별'!$P:$P,'04_공사비DB_공종별'!$A:$A,$A3,'04_공사비DB_공종별'!$E:$E,"건축")</f>
        <v/>
      </c>
      <c r="N3" s="10">
        <f>SUMIFS('04_공사비DB_공종별'!$P:$P,'04_공사비DB_공종별'!$A:$A,$A3,'04_공사비DB_공종별'!$E:$E,"전기")</f>
        <v/>
      </c>
      <c r="O3" s="10">
        <f>SUMIFS('04_공사비DB_공종별'!$P:$P,'04_공사비DB_공종별'!$A:$A,$A3,'04_공사비DB_공종별'!$E:$E,"정보통신")</f>
        <v/>
      </c>
      <c r="P3" s="10">
        <f>SUMIFS('04_공사비DB_공종별'!$P:$P,'04_공사비DB_공종별'!$A:$A,$A3,'04_공사비DB_공종별'!$E:$E,"소방")</f>
        <v/>
      </c>
      <c r="Q3" s="10">
        <f>SUMIFS('04_공사비DB_공종별'!$P:$P,'04_공사비DB_공종별'!$A:$A,$A3,'04_공사비DB_공종별'!$E:$E,"조경")</f>
        <v/>
      </c>
      <c r="R3" s="10">
        <f>SUMIFS('04_공사비DB_공종별'!$P:$P,'04_공사비DB_공종별'!$A:$A,$A3,'04_공사비DB_공종별'!$E:$E,"기계설비")</f>
        <v/>
      </c>
      <c r="S3" s="10">
        <f>SUMIFS('04_공사비DB_공종별'!$P:$P,'04_공사비DB_공종별'!$A:$A,$A3,'04_공사비DB_공종별'!$E:$E,"토목")</f>
        <v/>
      </c>
      <c r="T3" s="10">
        <f>SUMIFS('04_공사비DB_공종별'!$P:$P,'04_공사비DB_공종별'!$A:$A,$A3,'04_공사비DB_공종별'!$E:$E,"기타")</f>
        <v/>
      </c>
      <c r="U3" s="10">
        <f>SUM(M3:T3)</f>
        <v/>
      </c>
      <c r="V3" s="10">
        <f>IF(AND(ISNUMBER(H3),H3&gt;0),U3/H3,"")</f>
        <v/>
      </c>
      <c r="W3" s="8" t="n">
        <v>1</v>
      </c>
      <c r="X3" s="10">
        <f>IF(ISNUMBER(V3),V3*W3,"")</f>
        <v/>
      </c>
      <c r="Y3" s="2">
        <f>TRIM(IF(TRIM(IF(COUNTIFS('04_공사비DB_공종별'!$A:$A,$A3,'04_공사비DB_공종별'!$E:$E,"건축")=0,"건축 ","")&amp;IF(COUNTIFS('04_공사비DB_공종별'!$A:$A,$A3,'04_공사비DB_공종별'!$E:$E,"전기")=0,"전기 ","")&amp;IF(COUNTIFS('04_공사비DB_공종별'!$A:$A,$A3,'04_공사비DB_공종별'!$E:$E,"정보통신")=0,"정보통신 ","")&amp;IF(COUNTIFS('04_공사비DB_공종별'!$A:$A,$A3,'04_공사비DB_공종별'!$E:$E,"소방")=0,"소방 ",""))="","",TRIM(IF(COUNTIFS('04_공사비DB_공종별'!$A:$A,$A3,'04_공사비DB_공종별'!$E:$E,"건축")=0,"건축 ","")&amp;IF(COUNTIFS('04_공사비DB_공종별'!$A:$A,$A3,'04_공사비DB_공종별'!$E:$E,"전기")=0,"전기 ","")&amp;IF(COUNTIFS('04_공사비DB_공종별'!$A:$A,$A3,'04_공사비DB_공종별'!$E:$E,"정보통신")=0,"정보통신 ","")&amp;IF(COUNTIFS('04_공사비DB_공종별'!$A:$A,$A3,'04_공사비DB_공종별'!$E:$E,"소방")=0,"소방 ",""))&amp;"누락 ")&amp;IF(TRIM(IF(AND(COUNTIFS('04_공사비DB_공종별'!$A:$A,$A3,'04_공사비DB_공종별'!$E:$E,"건축")&gt;0,M3=0),"건축 ","")&amp;IF(AND(COUNTIFS('04_공사비DB_공종별'!$A:$A,$A3,'04_공사비DB_공종별'!$E:$E,"전기")&gt;0,N3=0),"전기 ","")&amp;IF(AND(COUNTIFS('04_공사비DB_공종별'!$A:$A,$A3,'04_공사비DB_공종별'!$E:$E,"정보통신")&gt;0,O3=0),"정보통신 ","")&amp;IF(AND(COUNTIFS('04_공사비DB_공종별'!$A:$A,$A3,'04_공사비DB_공종별'!$E:$E,"소방")&gt;0,P3=0),"소방 ",""))="","",TRIM(IF(AND(COUNTIFS('04_공사비DB_공종별'!$A:$A,$A3,'04_공사비DB_공종별'!$E:$E,"건축")&gt;0,M3=0),"건축 ","")&amp;IF(AND(COUNTIFS('04_공사비DB_공종별'!$A:$A,$A3,'04_공사비DB_공종별'!$E:$E,"전기")&gt;0,N3=0),"전기 ","")&amp;IF(AND(COUNTIFS('04_공사비DB_공종별'!$A:$A,$A3,'04_공사비DB_공종별'!$E:$E,"정보통신")&gt;0,O3=0),"정보통신 ","")&amp;IF(AND(COUNTIFS('04_공사비DB_공종별'!$A:$A,$A3,'04_공사비DB_공종별'!$E:$E,"소방")&gt;0,P3=0),"소방 ",""))&amp;"금액없음"))</f>
        <v/>
      </c>
      <c r="Z3" s="4" t="n">
        <v>4</v>
      </c>
      <c r="AA3" s="8" t="inlineStr"/>
    </row>
    <row r="4">
      <c r="A4" s="4" t="inlineStr">
        <is>
          <t>F0002-R</t>
        </is>
      </c>
      <c r="B4" s="4" t="inlineStr">
        <is>
          <t>F0002</t>
        </is>
      </c>
      <c r="C4" s="4" t="inlineStr">
        <is>
          <t>가상시립미술관</t>
        </is>
      </c>
      <c r="D4" s="4" t="inlineStr">
        <is>
          <t>리모델링</t>
        </is>
      </c>
      <c r="E4" s="4" t="inlineStr">
        <is>
          <t>문화 및 집회시설</t>
        </is>
      </c>
      <c r="F4" s="4" t="inlineStr">
        <is>
          <t>미술관</t>
        </is>
      </c>
      <c r="G4" s="4" t="inlineStr">
        <is>
          <t>가상광역시</t>
        </is>
      </c>
      <c r="H4" s="10">
        <f>IFERROR(INDEX('01_시설마스터'!$V:$V,MATCH($A4,'01_시설마스터'!$A:$A,0)),"")</f>
        <v/>
      </c>
      <c r="I4" s="4" t="n">
        <v>4</v>
      </c>
      <c r="J4" s="4" t="n">
        <v>1</v>
      </c>
      <c r="K4" s="4" t="inlineStr">
        <is>
          <t>철근콘크리트조</t>
        </is>
      </c>
      <c r="L4" s="4" t="inlineStr">
        <is>
          <t>2026</t>
        </is>
      </c>
      <c r="M4" s="10">
        <f>SUMIFS('04_공사비DB_공종별'!$P:$P,'04_공사비DB_공종별'!$A:$A,$A4,'04_공사비DB_공종별'!$E:$E,"건축")</f>
        <v/>
      </c>
      <c r="N4" s="10">
        <f>SUMIFS('04_공사비DB_공종별'!$P:$P,'04_공사비DB_공종별'!$A:$A,$A4,'04_공사비DB_공종별'!$E:$E,"전기")</f>
        <v/>
      </c>
      <c r="O4" s="10">
        <f>SUMIFS('04_공사비DB_공종별'!$P:$P,'04_공사비DB_공종별'!$A:$A,$A4,'04_공사비DB_공종별'!$E:$E,"정보통신")</f>
        <v/>
      </c>
      <c r="P4" s="10">
        <f>SUMIFS('04_공사비DB_공종별'!$P:$P,'04_공사비DB_공종별'!$A:$A,$A4,'04_공사비DB_공종별'!$E:$E,"소방")</f>
        <v/>
      </c>
      <c r="Q4" s="10">
        <f>SUMIFS('04_공사비DB_공종별'!$P:$P,'04_공사비DB_공종별'!$A:$A,$A4,'04_공사비DB_공종별'!$E:$E,"조경")</f>
        <v/>
      </c>
      <c r="R4" s="10">
        <f>SUMIFS('04_공사비DB_공종별'!$P:$P,'04_공사비DB_공종별'!$A:$A,$A4,'04_공사비DB_공종별'!$E:$E,"기계설비")</f>
        <v/>
      </c>
      <c r="S4" s="10">
        <f>SUMIFS('04_공사비DB_공종별'!$P:$P,'04_공사비DB_공종별'!$A:$A,$A4,'04_공사비DB_공종별'!$E:$E,"토목")</f>
        <v/>
      </c>
      <c r="T4" s="10">
        <f>SUMIFS('04_공사비DB_공종별'!$P:$P,'04_공사비DB_공종별'!$A:$A,$A4,'04_공사비DB_공종별'!$E:$E,"기타")</f>
        <v/>
      </c>
      <c r="U4" s="10">
        <f>SUM(M4:T4)</f>
        <v/>
      </c>
      <c r="V4" s="10">
        <f>IF(AND(ISNUMBER(H4),H4&gt;0),U4/H4,"")</f>
        <v/>
      </c>
      <c r="W4" s="8" t="n">
        <v>1</v>
      </c>
      <c r="X4" s="10">
        <f>IF(ISNUMBER(V4),V4*W4,"")</f>
        <v/>
      </c>
      <c r="Y4" s="2">
        <f>TRIM(IF(TRIM(IF(COUNTIFS('04_공사비DB_공종별'!$A:$A,$A4,'04_공사비DB_공종별'!$E:$E,"건축")=0,"건축 ","")&amp;IF(COUNTIFS('04_공사비DB_공종별'!$A:$A,$A4,'04_공사비DB_공종별'!$E:$E,"전기")=0,"전기 ","")&amp;IF(COUNTIFS('04_공사비DB_공종별'!$A:$A,$A4,'04_공사비DB_공종별'!$E:$E,"정보통신")=0,"정보통신 ","")&amp;IF(COUNTIFS('04_공사비DB_공종별'!$A:$A,$A4,'04_공사비DB_공종별'!$E:$E,"소방")=0,"소방 ",""))="","",TRIM(IF(COUNTIFS('04_공사비DB_공종별'!$A:$A,$A4,'04_공사비DB_공종별'!$E:$E,"건축")=0,"건축 ","")&amp;IF(COUNTIFS('04_공사비DB_공종별'!$A:$A,$A4,'04_공사비DB_공종별'!$E:$E,"전기")=0,"전기 ","")&amp;IF(COUNTIFS('04_공사비DB_공종별'!$A:$A,$A4,'04_공사비DB_공종별'!$E:$E,"정보통신")=0,"정보통신 ","")&amp;IF(COUNTIFS('04_공사비DB_공종별'!$A:$A,$A4,'04_공사비DB_공종별'!$E:$E,"소방")=0,"소방 ",""))&amp;"누락 ")&amp;IF(TRIM(IF(AND(COUNTIFS('04_공사비DB_공종별'!$A:$A,$A4,'04_공사비DB_공종별'!$E:$E,"건축")&gt;0,M4=0),"건축 ","")&amp;IF(AND(COUNTIFS('04_공사비DB_공종별'!$A:$A,$A4,'04_공사비DB_공종별'!$E:$E,"전기")&gt;0,N4=0),"전기 ","")&amp;IF(AND(COUNTIFS('04_공사비DB_공종별'!$A:$A,$A4,'04_공사비DB_공종별'!$E:$E,"정보통신")&gt;0,O4=0),"정보통신 ","")&amp;IF(AND(COUNTIFS('04_공사비DB_공종별'!$A:$A,$A4,'04_공사비DB_공종별'!$E:$E,"소방")&gt;0,P4=0),"소방 ",""))="","",TRIM(IF(AND(COUNTIFS('04_공사비DB_공종별'!$A:$A,$A4,'04_공사비DB_공종별'!$E:$E,"건축")&gt;0,M4=0),"건축 ","")&amp;IF(AND(COUNTIFS('04_공사비DB_공종별'!$A:$A,$A4,'04_공사비DB_공종별'!$E:$E,"전기")&gt;0,N4=0),"전기 ","")&amp;IF(AND(COUNTIFS('04_공사비DB_공종별'!$A:$A,$A4,'04_공사비DB_공종별'!$E:$E,"정보통신")&gt;0,O4=0),"정보통신 ","")&amp;IF(AND(COUNTIFS('04_공사비DB_공종별'!$A:$A,$A4,'04_공사비DB_공종별'!$E:$E,"소방")&gt;0,P4=0),"소방 ",""))&amp;"금액없음"))</f>
        <v/>
      </c>
      <c r="Z4" s="4" t="n">
        <v>2</v>
      </c>
      <c r="AA4" s="8" t="inlineStr"/>
    </row>
    <row r="6">
      <c r="A6" s="2" t="inlineStr">
        <is>
          <t>주: 건설공사비지수 보정계수는 사용자 입력(기준연도 지수/공고연도 지수). 총공사비 = 기초금액(API, 없으면 추정가격×1.1, 그것도 없으면 문서 추출값) + 도급자관급액 + 관급자관급액. 연면적은 01_시설마스터 값을 참조(01 에서 수정). 공종누락경고: '누락'=해당 공종 공고 없음, '금액없음'=공고는 있으나 금액 0. ㎡당 공사비는 사업유형(신축/증축/리모델링)이 같은 프로젝트끼리만 비교할 것 — 리모델링의 연면적은 공사 대상 연면적임.</t>
        </is>
      </c>
    </row>
  </sheetData>
  <autoFilter ref="A1:AA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26" customWidth="1" min="2" max="2"/>
    <col width="10.4" customWidth="1" min="3" max="3"/>
    <col width="10" customWidth="1" min="4" max="4"/>
    <col width="10" customWidth="1" min="5" max="5"/>
    <col width="10" customWidth="1" min="6" max="6"/>
    <col width="10" customWidth="1" min="7" max="7"/>
    <col width="70" customWidth="1" min="8" max="8"/>
  </cols>
  <sheetData>
    <row r="1">
      <c r="A1" s="3" t="inlineStr">
        <is>
          <t>공고번호</t>
        </is>
      </c>
      <c r="B1" s="3" t="inlineStr">
        <is>
          <t>항목</t>
        </is>
      </c>
      <c r="C1" s="3" t="inlineStr">
        <is>
          <t>API값</t>
        </is>
      </c>
      <c r="D1" s="3" t="inlineStr">
        <is>
          <t>문서값</t>
        </is>
      </c>
      <c r="E1" s="3" t="inlineStr">
        <is>
          <t>차이</t>
        </is>
      </c>
      <c r="F1" s="3" t="inlineStr">
        <is>
          <t>차이율</t>
        </is>
      </c>
      <c r="G1" s="3" t="inlineStr">
        <is>
          <t>판정</t>
        </is>
      </c>
      <c r="H1" s="3" t="inlineStr">
        <is>
          <t>비고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45" customWidth="1" min="2" max="2"/>
    <col width="10" customWidth="1" min="3" max="3"/>
    <col width="10.4" customWidth="1" min="4" max="4"/>
    <col width="10.4" customWidth="1" min="5" max="5"/>
    <col width="10.4" customWidth="1" min="6" max="6"/>
    <col width="12" customWidth="1" min="7" max="7"/>
    <col width="10" customWidth="1" min="8" max="8"/>
    <col width="12" customWidth="1" min="9" max="9"/>
    <col width="50" customWidth="1" min="10" max="10"/>
    <col width="50" customWidth="1" min="11" max="11"/>
  </cols>
  <sheetData>
    <row r="1">
      <c r="A1" s="3" t="inlineStr">
        <is>
          <t>공고번호</t>
        </is>
      </c>
      <c r="B1" s="3" t="inlineStr">
        <is>
          <t>파일명</t>
        </is>
      </c>
      <c r="C1" s="3" t="inlineStr">
        <is>
          <t>형식</t>
        </is>
      </c>
      <c r="D1" s="3" t="inlineStr">
        <is>
          <t>우선순위</t>
        </is>
      </c>
      <c r="E1" s="3" t="inlineStr">
        <is>
          <t>다운로드</t>
        </is>
      </c>
      <c r="F1" s="3" t="inlineStr">
        <is>
          <t>추출성공</t>
        </is>
      </c>
      <c r="G1" s="3" t="inlineStr">
        <is>
          <t>추출글자수</t>
        </is>
      </c>
      <c r="H1" s="3" t="inlineStr">
        <is>
          <t>파서</t>
        </is>
      </c>
      <c r="I1" s="3" t="inlineStr">
        <is>
          <t>LLM호출</t>
        </is>
      </c>
      <c r="J1" s="3" t="inlineStr">
        <is>
          <t>오류</t>
        </is>
      </c>
      <c r="K1" s="3" t="inlineStr">
        <is>
          <t>URL</t>
        </is>
      </c>
    </row>
    <row r="2">
      <c r="A2" s="4" t="inlineStr">
        <is>
          <t>20240200002</t>
        </is>
      </c>
      <c r="B2" s="4" t="inlineStr">
        <is>
          <t>입찰공고문.hwp</t>
        </is>
      </c>
      <c r="C2" s="4" t="inlineStr">
        <is>
          <t>.hwp</t>
        </is>
      </c>
      <c r="D2" s="4" t="n">
        <v>10</v>
      </c>
      <c r="E2" s="4" t="inlineStr">
        <is>
          <t>Y</t>
        </is>
      </c>
      <c r="F2" s="4" t="inlineStr">
        <is>
          <t>Y</t>
        </is>
      </c>
      <c r="G2" s="4" t="n">
        <v>18234</v>
      </c>
      <c r="H2" s="4" t="inlineStr">
        <is>
          <t>olefile</t>
        </is>
      </c>
      <c r="I2" s="4" t="inlineStr">
        <is>
          <t>Y</t>
        </is>
      </c>
      <c r="J2" s="4" t="inlineStr"/>
      <c r="K2" s="4" t="inlineStr">
        <is>
          <t>https://example.invalid/a.hwp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2026-09-05T15:37:44Z</dcterms:created>
  <dcterms:modified xmlns:dcterms="http://purl.org/dc/terms/" xmlns:xsi="http://www.w3.org/2001/XMLSchema-instance" xsi:type="dcterms:W3CDTF">2026-09-05T15:37:44Z</dcterms:modified>
</cp:coreProperties>
</file>